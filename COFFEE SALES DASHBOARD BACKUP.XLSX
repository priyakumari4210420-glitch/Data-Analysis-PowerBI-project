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8.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pivotTables/pivotTable9.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drawings/drawing8.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hp\Downloads\"/>
    </mc:Choice>
  </mc:AlternateContent>
  <bookViews>
    <workbookView xWindow="0" yWindow="0" windowWidth="23040" windowHeight="9372" firstSheet="5" activeTab="11"/>
  </bookViews>
  <sheets>
    <sheet name="HOUR VS SALES" sheetId="2" r:id="rId1"/>
    <sheet name="Sheet2" sheetId="3" r:id="rId2"/>
    <sheet name="HOUR VS SALES 2" sheetId="4" r:id="rId3"/>
    <sheet name="Sheet4" sheetId="5" r:id="rId4"/>
    <sheet name="DAILY SALES TREND" sheetId="6" r:id="rId5"/>
    <sheet name="CASH VS CARD" sheetId="7" r:id="rId6"/>
    <sheet name="COFFEE WISE SALES" sheetId="8" r:id="rId7"/>
    <sheet name="Sheet1" sheetId="11" r:id="rId8"/>
    <sheet name="MONTHLY SALES" sheetId="9" r:id="rId9"/>
    <sheet name="Sheet3" sheetId="12" r:id="rId10"/>
    <sheet name="index (1)" sheetId="1" r:id="rId11"/>
    <sheet name="Sheet9" sheetId="10" r:id="rId12"/>
  </sheets>
  <definedNames>
    <definedName name="Slicer_coffee_name">#N/A</definedName>
    <definedName name="Slicer_MONTH">#N/A</definedName>
    <definedName name="Slicer_year">#N/A</definedName>
  </definedNames>
  <calcPr calcId="152511"/>
  <pivotCaches>
    <pivotCache cacheId="0"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Lst>
</workbook>
</file>

<file path=xl/calcChain.xml><?xml version="1.0" encoding="utf-8"?>
<calcChain xmlns="http://schemas.openxmlformats.org/spreadsheetml/2006/main">
  <c r="D5" i="4" l="1"/>
  <c r="E5" i="4"/>
  <c r="D6" i="4"/>
  <c r="E6" i="4"/>
  <c r="D7" i="4"/>
  <c r="E7" i="4"/>
  <c r="D8" i="4"/>
  <c r="E8" i="4"/>
  <c r="D9" i="4"/>
  <c r="E9" i="4"/>
  <c r="D10" i="4"/>
  <c r="E10" i="4"/>
  <c r="D11" i="4"/>
  <c r="E11" i="4"/>
  <c r="D12" i="4"/>
  <c r="E12" i="4"/>
  <c r="D13" i="4"/>
  <c r="E13" i="4"/>
  <c r="D14" i="4"/>
  <c r="E14" i="4"/>
  <c r="D15" i="4"/>
  <c r="E15" i="4"/>
  <c r="D16" i="4"/>
  <c r="E16" i="4"/>
  <c r="D17" i="4"/>
  <c r="E17" i="4"/>
  <c r="D18" i="4"/>
  <c r="E18" i="4"/>
  <c r="D19" i="4"/>
  <c r="E19" i="4"/>
  <c r="E4" i="4"/>
  <c r="D4" i="4"/>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alcChain>
</file>

<file path=xl/sharedStrings.xml><?xml version="1.0" encoding="utf-8"?>
<sst xmlns="http://schemas.openxmlformats.org/spreadsheetml/2006/main" count="3916" uniqueCount="467">
  <si>
    <t>date</t>
  </si>
  <si>
    <t>datetime</t>
  </si>
  <si>
    <t>cash_type</t>
  </si>
  <si>
    <t>card</t>
  </si>
  <si>
    <t>money</t>
  </si>
  <si>
    <t>coffee_name</t>
  </si>
  <si>
    <t>ANON-0000-0000-0001</t>
  </si>
  <si>
    <t>Latte</t>
  </si>
  <si>
    <t>ANON-0000-0000-0002</t>
  </si>
  <si>
    <t>Hot Chocolate</t>
  </si>
  <si>
    <t>ANON-0000-0000-0003</t>
  </si>
  <si>
    <t>Americano</t>
  </si>
  <si>
    <t>ANON-0000-0000-0004</t>
  </si>
  <si>
    <t>ANON-0000-0000-0005</t>
  </si>
  <si>
    <t>Americano with Milk</t>
  </si>
  <si>
    <t>ANON-0000-0000-0006</t>
  </si>
  <si>
    <t>ANON-0000-0000-0007</t>
  </si>
  <si>
    <t>ANON-0000-0000-0008</t>
  </si>
  <si>
    <t>Cocoa</t>
  </si>
  <si>
    <t>ANON-0000-0000-0009</t>
  </si>
  <si>
    <t>ANON-0000-0000-0010</t>
  </si>
  <si>
    <t>cash</t>
  </si>
  <si>
    <t>ANON-0000-0000-0011</t>
  </si>
  <si>
    <t>ANON-0000-0000-0012</t>
  </si>
  <si>
    <t>ANON-0000-0000-0013</t>
  </si>
  <si>
    <t>ANON-0000-0000-0014</t>
  </si>
  <si>
    <t>ANON-0000-0000-0015</t>
  </si>
  <si>
    <t>ANON-0000-0000-0016</t>
  </si>
  <si>
    <t>Cortado</t>
  </si>
  <si>
    <t>ANON-0000-0000-0017</t>
  </si>
  <si>
    <t>ANON-0000-0000-0018</t>
  </si>
  <si>
    <t>ANON-0000-0000-0019</t>
  </si>
  <si>
    <t>ANON-0000-0000-0020</t>
  </si>
  <si>
    <t>ANON-0000-0000-0021</t>
  </si>
  <si>
    <t>ANON-0000-0000-0022</t>
  </si>
  <si>
    <t>Espresso</t>
  </si>
  <si>
    <t>ANON-0000-0000-0023</t>
  </si>
  <si>
    <t>ANON-0000-0000-0024</t>
  </si>
  <si>
    <t>ANON-0000-0000-0025</t>
  </si>
  <si>
    <t>ANON-0000-0000-0026</t>
  </si>
  <si>
    <t>ANON-0000-0000-0027</t>
  </si>
  <si>
    <t>ANON-0000-0000-0028</t>
  </si>
  <si>
    <t>ANON-0000-0000-0029</t>
  </si>
  <si>
    <t>Cappuccino</t>
  </si>
  <si>
    <t>ANON-0000-0000-0030</t>
  </si>
  <si>
    <t>ANON-0000-0000-0031</t>
  </si>
  <si>
    <t>ANON-0000-0000-0032</t>
  </si>
  <si>
    <t>ANON-0000-0000-0033</t>
  </si>
  <si>
    <t>ANON-0000-0000-0034</t>
  </si>
  <si>
    <t>ANON-0000-0000-0035</t>
  </si>
  <si>
    <t>ANON-0000-0000-0036</t>
  </si>
  <si>
    <t>ANON-0000-0000-0037</t>
  </si>
  <si>
    <t>ANON-0000-0000-0038</t>
  </si>
  <si>
    <t>ANON-0000-0000-0039</t>
  </si>
  <si>
    <t>ANON-0000-0000-0040</t>
  </si>
  <si>
    <t>ANON-0000-0000-0041</t>
  </si>
  <si>
    <t>ANON-0000-0000-0042</t>
  </si>
  <si>
    <t>ANON-0000-0000-0043</t>
  </si>
  <si>
    <t>ANON-0000-0000-0044</t>
  </si>
  <si>
    <t>ANON-0000-0000-0045</t>
  </si>
  <si>
    <t>ANON-0000-0000-0046</t>
  </si>
  <si>
    <t>ANON-0000-0000-0047</t>
  </si>
  <si>
    <t>ANON-0000-0000-0048</t>
  </si>
  <si>
    <t>ANON-0000-0000-0049</t>
  </si>
  <si>
    <t>ANON-0000-0000-0050</t>
  </si>
  <si>
    <t>ANON-0000-0000-0051</t>
  </si>
  <si>
    <t>ANON-0000-0000-0052</t>
  </si>
  <si>
    <t>ANON-0000-0000-0053</t>
  </si>
  <si>
    <t>ANON-0000-0000-0054</t>
  </si>
  <si>
    <t>ANON-0000-0000-0055</t>
  </si>
  <si>
    <t>ANON-0000-0000-0056</t>
  </si>
  <si>
    <t>ANON-0000-0000-0057</t>
  </si>
  <si>
    <t>ANON-0000-0000-0058</t>
  </si>
  <si>
    <t>ANON-0000-0000-0059</t>
  </si>
  <si>
    <t>ANON-0000-0000-0060</t>
  </si>
  <si>
    <t>ANON-0000-0000-0061</t>
  </si>
  <si>
    <t>ANON-0000-0000-0062</t>
  </si>
  <si>
    <t>ANON-0000-0000-0063</t>
  </si>
  <si>
    <t>ANON-0000-0000-0064</t>
  </si>
  <si>
    <t>ANON-0000-0000-0065</t>
  </si>
  <si>
    <t>ANON-0000-0000-0066</t>
  </si>
  <si>
    <t>ANON-0000-0000-0067</t>
  </si>
  <si>
    <t>ANON-0000-0000-0068</t>
  </si>
  <si>
    <t>ANON-0000-0000-0069</t>
  </si>
  <si>
    <t>ANON-0000-0000-0070</t>
  </si>
  <si>
    <t>ANON-0000-0000-0071</t>
  </si>
  <si>
    <t>ANON-0000-0000-0072</t>
  </si>
  <si>
    <t>ANON-0000-0000-0073</t>
  </si>
  <si>
    <t>ANON-0000-0000-0074</t>
  </si>
  <si>
    <t>ANON-0000-0000-0075</t>
  </si>
  <si>
    <t>ANON-0000-0000-0076</t>
  </si>
  <si>
    <t>ANON-0000-0000-0077</t>
  </si>
  <si>
    <t>ANON-0000-0000-0078</t>
  </si>
  <si>
    <t>ANON-0000-0000-0079</t>
  </si>
  <si>
    <t>ANON-0000-0000-0080</t>
  </si>
  <si>
    <t>ANON-0000-0000-0081</t>
  </si>
  <si>
    <t>ANON-0000-0000-0082</t>
  </si>
  <si>
    <t>ANON-0000-0000-0083</t>
  </si>
  <si>
    <t>ANON-0000-0000-0084</t>
  </si>
  <si>
    <t>ANON-0000-0000-0085</t>
  </si>
  <si>
    <t>ANON-0000-0000-0086</t>
  </si>
  <si>
    <t>ANON-0000-0000-0087</t>
  </si>
  <si>
    <t>ANON-0000-0000-0088</t>
  </si>
  <si>
    <t>ANON-0000-0000-0089</t>
  </si>
  <si>
    <t>ANON-0000-0000-0090</t>
  </si>
  <si>
    <t>ANON-0000-0000-0091</t>
  </si>
  <si>
    <t>ANON-0000-0000-0092</t>
  </si>
  <si>
    <t>ANON-0000-0000-0093</t>
  </si>
  <si>
    <t>ANON-0000-0000-0094</t>
  </si>
  <si>
    <t>ANON-0000-0000-0095</t>
  </si>
  <si>
    <t>ANON-0000-0000-0096</t>
  </si>
  <si>
    <t>ANON-0000-0000-0097</t>
  </si>
  <si>
    <t>ANON-0000-0000-0098</t>
  </si>
  <si>
    <t>ANON-0000-0000-0099</t>
  </si>
  <si>
    <t>ANON-0000-0000-0100</t>
  </si>
  <si>
    <t>ANON-0000-0000-0101</t>
  </si>
  <si>
    <t>ANON-0000-0000-0102</t>
  </si>
  <si>
    <t>ANON-0000-0000-0103</t>
  </si>
  <si>
    <t>ANON-0000-0000-0104</t>
  </si>
  <si>
    <t>ANON-0000-0000-0105</t>
  </si>
  <si>
    <t>ANON-0000-0000-0106</t>
  </si>
  <si>
    <t>ANON-0000-0000-0107</t>
  </si>
  <si>
    <t>ANON-0000-0000-0108</t>
  </si>
  <si>
    <t>ANON-0000-0000-0109</t>
  </si>
  <si>
    <t>ANON-0000-0000-0110</t>
  </si>
  <si>
    <t>ANON-0000-0000-0111</t>
  </si>
  <si>
    <t>ANON-0000-0000-0112</t>
  </si>
  <si>
    <t>ANON-0000-0000-0113</t>
  </si>
  <si>
    <t>ANON-0000-0000-0114</t>
  </si>
  <si>
    <t>ANON-0000-0000-0115</t>
  </si>
  <si>
    <t>ANON-0000-0000-0116</t>
  </si>
  <si>
    <t>ANON-0000-0000-0117</t>
  </si>
  <si>
    <t>ANON-0000-0000-0118</t>
  </si>
  <si>
    <t>ANON-0000-0000-0119</t>
  </si>
  <si>
    <t>ANON-0000-0000-0120</t>
  </si>
  <si>
    <t>ANON-0000-0000-0121</t>
  </si>
  <si>
    <t>ANON-0000-0000-0122</t>
  </si>
  <si>
    <t>ANON-0000-0000-0123</t>
  </si>
  <si>
    <t>ANON-0000-0000-0124</t>
  </si>
  <si>
    <t>ANON-0000-0000-0125</t>
  </si>
  <si>
    <t>ANON-0000-0000-0126</t>
  </si>
  <si>
    <t>ANON-0000-0000-0127</t>
  </si>
  <si>
    <t>ANON-0000-0000-0128</t>
  </si>
  <si>
    <t>ANON-0000-0000-0129</t>
  </si>
  <si>
    <t>ANON-0000-0000-0130</t>
  </si>
  <si>
    <t>ANON-0000-0000-0131</t>
  </si>
  <si>
    <t>ANON-0000-0000-0132</t>
  </si>
  <si>
    <t>ANON-0000-0000-0133</t>
  </si>
  <si>
    <t>ANON-0000-0000-0134</t>
  </si>
  <si>
    <t>ANON-0000-0000-0135</t>
  </si>
  <si>
    <t>ANON-0000-0000-0136</t>
  </si>
  <si>
    <t>ANON-0000-0000-0137</t>
  </si>
  <si>
    <t>ANON-0000-0000-0138</t>
  </si>
  <si>
    <t>ANON-0000-0000-0139</t>
  </si>
  <si>
    <t>ANON-0000-0000-0140</t>
  </si>
  <si>
    <t>ANON-0000-0000-0141</t>
  </si>
  <si>
    <t>ANON-0000-0000-0142</t>
  </si>
  <si>
    <t>ANON-0000-0000-0143</t>
  </si>
  <si>
    <t>ANON-0000-0000-0144</t>
  </si>
  <si>
    <t>ANON-0000-0000-0145</t>
  </si>
  <si>
    <t>ANON-0000-0000-0146</t>
  </si>
  <si>
    <t>ANON-0000-0000-0147</t>
  </si>
  <si>
    <t>ANON-0000-0000-0148</t>
  </si>
  <si>
    <t>ANON-0000-0000-0149</t>
  </si>
  <si>
    <t>ANON-0000-0000-0150</t>
  </si>
  <si>
    <t>ANON-0000-0000-0151</t>
  </si>
  <si>
    <t>ANON-0000-0000-0152</t>
  </si>
  <si>
    <t>ANON-0000-0000-0153</t>
  </si>
  <si>
    <t>ANON-0000-0000-0154</t>
  </si>
  <si>
    <t>ANON-0000-0000-0155</t>
  </si>
  <si>
    <t>ANON-0000-0000-0156</t>
  </si>
  <si>
    <t>ANON-0000-0000-0157</t>
  </si>
  <si>
    <t>ANON-0000-0000-0158</t>
  </si>
  <si>
    <t>ANON-0000-0000-0159</t>
  </si>
  <si>
    <t>ANON-0000-0000-0160</t>
  </si>
  <si>
    <t>ANON-0000-0000-0161</t>
  </si>
  <si>
    <t>ANON-0000-0000-0162</t>
  </si>
  <si>
    <t>ANON-0000-0000-0163</t>
  </si>
  <si>
    <t>ANON-0000-0000-0164</t>
  </si>
  <si>
    <t>ANON-0000-0000-0165</t>
  </si>
  <si>
    <t>ANON-0000-0000-0166</t>
  </si>
  <si>
    <t>ANON-0000-0000-0167</t>
  </si>
  <si>
    <t>ANON-0000-0000-0168</t>
  </si>
  <si>
    <t>ANON-0000-0000-0169</t>
  </si>
  <si>
    <t>ANON-0000-0000-0170</t>
  </si>
  <si>
    <t>ANON-0000-0000-0171</t>
  </si>
  <si>
    <t>ANON-0000-0000-0172</t>
  </si>
  <si>
    <t>ANON-0000-0000-0173</t>
  </si>
  <si>
    <t>ANON-0000-0000-0174</t>
  </si>
  <si>
    <t>ANON-0000-0000-0175</t>
  </si>
  <si>
    <t>ANON-0000-0000-0176</t>
  </si>
  <si>
    <t>ANON-0000-0000-0177</t>
  </si>
  <si>
    <t>ANON-0000-0000-0178</t>
  </si>
  <si>
    <t>ANON-0000-0000-0179</t>
  </si>
  <si>
    <t>ANON-0000-0000-0180</t>
  </si>
  <si>
    <t>ANON-0000-0000-0181</t>
  </si>
  <si>
    <t>ANON-0000-0000-0182</t>
  </si>
  <si>
    <t>ANON-0000-0000-0183</t>
  </si>
  <si>
    <t>ANON-0000-0000-0184</t>
  </si>
  <si>
    <t>ANON-0000-0000-0185</t>
  </si>
  <si>
    <t>ANON-0000-0000-0186</t>
  </si>
  <si>
    <t>ANON-0000-0000-0187</t>
  </si>
  <si>
    <t>ANON-0000-0000-0188</t>
  </si>
  <si>
    <t>ANON-0000-0000-0189</t>
  </si>
  <si>
    <t>ANON-0000-0000-0190</t>
  </si>
  <si>
    <t>ANON-0000-0000-0191</t>
  </si>
  <si>
    <t>ANON-0000-0000-0192</t>
  </si>
  <si>
    <t>ANON-0000-0000-0193</t>
  </si>
  <si>
    <t>ANON-0000-0000-0194</t>
  </si>
  <si>
    <t>ANON-0000-0000-0195</t>
  </si>
  <si>
    <t>ANON-0000-0000-0196</t>
  </si>
  <si>
    <t>ANON-0000-0000-0197</t>
  </si>
  <si>
    <t>ANON-0000-0000-0198</t>
  </si>
  <si>
    <t>ANON-0000-0000-0199</t>
  </si>
  <si>
    <t>ANON-0000-0000-0200</t>
  </si>
  <si>
    <t>ANON-0000-0000-0201</t>
  </si>
  <si>
    <t>ANON-0000-0000-0202</t>
  </si>
  <si>
    <t>ANON-0000-0000-0203</t>
  </si>
  <si>
    <t>ANON-0000-0000-0204</t>
  </si>
  <si>
    <t>ANON-0000-0000-0205</t>
  </si>
  <si>
    <t>ANON-0000-0000-0206</t>
  </si>
  <si>
    <t>ANON-0000-0000-0207</t>
  </si>
  <si>
    <t>ANON-0000-0000-0208</t>
  </si>
  <si>
    <t>ANON-0000-0000-0209</t>
  </si>
  <si>
    <t>ANON-0000-0000-0210</t>
  </si>
  <si>
    <t>ANON-0000-0000-0211</t>
  </si>
  <si>
    <t>ANON-0000-0000-0212</t>
  </si>
  <si>
    <t>ANON-0000-0000-0213</t>
  </si>
  <si>
    <t>ANON-0000-0000-0214</t>
  </si>
  <si>
    <t>ANON-0000-0000-0215</t>
  </si>
  <si>
    <t>ANON-0000-0000-0216</t>
  </si>
  <si>
    <t>ANON-0000-0000-0217</t>
  </si>
  <si>
    <t>ANON-0000-0000-0218</t>
  </si>
  <si>
    <t>ANON-0000-0000-0219</t>
  </si>
  <si>
    <t>ANON-0000-0000-0220</t>
  </si>
  <si>
    <t>ANON-0000-0000-0221</t>
  </si>
  <si>
    <t>ANON-0000-0000-0222</t>
  </si>
  <si>
    <t>ANON-0000-0000-0223</t>
  </si>
  <si>
    <t>ANON-0000-0000-0224</t>
  </si>
  <si>
    <t>ANON-0000-0000-0225</t>
  </si>
  <si>
    <t>ANON-0000-0000-0226</t>
  </si>
  <si>
    <t>ANON-0000-0000-0227</t>
  </si>
  <si>
    <t>ANON-0000-0000-0228</t>
  </si>
  <si>
    <t>ANON-0000-0000-0229</t>
  </si>
  <si>
    <t>ANON-0000-0000-0230</t>
  </si>
  <si>
    <t>ANON-0000-0000-0231</t>
  </si>
  <si>
    <t>ANON-0000-0000-0232</t>
  </si>
  <si>
    <t>ANON-0000-0000-0233</t>
  </si>
  <si>
    <t>ANON-0000-0000-0234</t>
  </si>
  <si>
    <t>ANON-0000-0000-0235</t>
  </si>
  <si>
    <t>ANON-0000-0000-0236</t>
  </si>
  <si>
    <t>ANON-0000-0000-0237</t>
  </si>
  <si>
    <t>ANON-0000-0000-0238</t>
  </si>
  <si>
    <t>ANON-0000-0000-0239</t>
  </si>
  <si>
    <t>ANON-0000-0000-0240</t>
  </si>
  <si>
    <t>ANON-0000-0000-0241</t>
  </si>
  <si>
    <t>ANON-0000-0000-0242</t>
  </si>
  <si>
    <t>ANON-0000-0000-0243</t>
  </si>
  <si>
    <t>ANON-0000-0000-0244</t>
  </si>
  <si>
    <t>ANON-0000-0000-0245</t>
  </si>
  <si>
    <t>ANON-0000-0000-0246</t>
  </si>
  <si>
    <t>ANON-0000-0000-0247</t>
  </si>
  <si>
    <t>ANON-0000-0000-0248</t>
  </si>
  <si>
    <t>ANON-0000-0000-0249</t>
  </si>
  <si>
    <t>ANON-0000-0000-0250</t>
  </si>
  <si>
    <t>ANON-0000-0000-0251</t>
  </si>
  <si>
    <t>ANON-0000-0000-0252</t>
  </si>
  <si>
    <t>ANON-0000-0000-0253</t>
  </si>
  <si>
    <t>ANON-0000-0000-0254</t>
  </si>
  <si>
    <t>ANON-0000-0000-0255</t>
  </si>
  <si>
    <t>ANON-0000-0000-0256</t>
  </si>
  <si>
    <t>ANON-0000-0000-0257</t>
  </si>
  <si>
    <t>ANON-0000-0000-0258</t>
  </si>
  <si>
    <t>ANON-0000-0000-0259</t>
  </si>
  <si>
    <t>ANON-0000-0000-0260</t>
  </si>
  <si>
    <t>ANON-0000-0000-0261</t>
  </si>
  <si>
    <t>ANON-0000-0000-0262</t>
  </si>
  <si>
    <t>ANON-0000-0000-0263</t>
  </si>
  <si>
    <t>ANON-0000-0000-0264</t>
  </si>
  <si>
    <t>ANON-0000-0000-0265</t>
  </si>
  <si>
    <t>ANON-0000-0000-0266</t>
  </si>
  <si>
    <t>ANON-0000-0000-0267</t>
  </si>
  <si>
    <t>ANON-0000-0000-0268</t>
  </si>
  <si>
    <t>ANON-0000-0000-0269</t>
  </si>
  <si>
    <t>ANON-0000-0000-0270</t>
  </si>
  <si>
    <t>ANON-0000-0000-0271</t>
  </si>
  <si>
    <t>ANON-0000-0000-0272</t>
  </si>
  <si>
    <t>ANON-0000-0000-0273</t>
  </si>
  <si>
    <t>ANON-0000-0000-0274</t>
  </si>
  <si>
    <t>ANON-0000-0000-0275</t>
  </si>
  <si>
    <t>ANON-0000-0000-0276</t>
  </si>
  <si>
    <t>ANON-0000-0000-0277</t>
  </si>
  <si>
    <t>ANON-0000-0000-0278</t>
  </si>
  <si>
    <t>ANON-0000-0000-0279</t>
  </si>
  <si>
    <t>ANON-0000-0000-0280</t>
  </si>
  <si>
    <t>ANON-0000-0000-0281</t>
  </si>
  <si>
    <t>ANON-0000-0000-0282</t>
  </si>
  <si>
    <t>ANON-0000-0000-0283</t>
  </si>
  <si>
    <t>ANON-0000-0000-0284</t>
  </si>
  <si>
    <t>ANON-0000-0000-0285</t>
  </si>
  <si>
    <t>ANON-0000-0000-0286</t>
  </si>
  <si>
    <t>ANON-0000-0000-0287</t>
  </si>
  <si>
    <t>ANON-0000-0000-0288</t>
  </si>
  <si>
    <t>ANON-0000-0000-0289</t>
  </si>
  <si>
    <t>ANON-0000-0000-0290</t>
  </si>
  <si>
    <t>ANON-0000-0000-0291</t>
  </si>
  <si>
    <t>ANON-0000-0000-0292</t>
  </si>
  <si>
    <t>ANON-0000-0000-0293</t>
  </si>
  <si>
    <t>ANON-0000-0000-0294</t>
  </si>
  <si>
    <t>ANON-0000-0000-0295</t>
  </si>
  <si>
    <t>ANON-0000-0000-0296</t>
  </si>
  <si>
    <t>ANON-0000-0000-0297</t>
  </si>
  <si>
    <t>ANON-0000-0000-0298</t>
  </si>
  <si>
    <t>ANON-0000-0000-0299</t>
  </si>
  <si>
    <t>ANON-0000-0000-0300</t>
  </si>
  <si>
    <t>ANON-0000-0000-0301</t>
  </si>
  <si>
    <t>ANON-0000-0000-0302</t>
  </si>
  <si>
    <t>ANON-0000-0000-0303</t>
  </si>
  <si>
    <t>ANON-0000-0000-0304</t>
  </si>
  <si>
    <t>ANON-0000-0000-0305</t>
  </si>
  <si>
    <t>ANON-0000-0000-0306</t>
  </si>
  <si>
    <t>ANON-0000-0000-0307</t>
  </si>
  <si>
    <t>ANON-0000-0000-0308</t>
  </si>
  <si>
    <t>ANON-0000-0000-0309</t>
  </si>
  <si>
    <t>ANON-0000-0000-0310</t>
  </si>
  <si>
    <t>ANON-0000-0000-0311</t>
  </si>
  <si>
    <t>ANON-0000-0000-0312</t>
  </si>
  <si>
    <t>ANON-0000-0000-0313</t>
  </si>
  <si>
    <t>ANON-0000-0000-0314</t>
  </si>
  <si>
    <t>ANON-0000-0000-0315</t>
  </si>
  <si>
    <t>ANON-0000-0000-0316</t>
  </si>
  <si>
    <t>ANON-0000-0000-0317</t>
  </si>
  <si>
    <t>ANON-0000-0000-0318</t>
  </si>
  <si>
    <t>ANON-0000-0000-0319</t>
  </si>
  <si>
    <t>ANON-0000-0000-0320</t>
  </si>
  <si>
    <t>ANON-0000-0000-0321</t>
  </si>
  <si>
    <t>ANON-0000-0000-0322</t>
  </si>
  <si>
    <t>ANON-0000-0000-0323</t>
  </si>
  <si>
    <t>ANON-0000-0000-0324</t>
  </si>
  <si>
    <t>ANON-0000-0000-0325</t>
  </si>
  <si>
    <t>ANON-0000-0000-0326</t>
  </si>
  <si>
    <t>ANON-0000-0000-0327</t>
  </si>
  <si>
    <t>ANON-0000-0000-0328</t>
  </si>
  <si>
    <t>ANON-0000-0000-0329</t>
  </si>
  <si>
    <t>ANON-0000-0000-0330</t>
  </si>
  <si>
    <t>ANON-0000-0000-0331</t>
  </si>
  <si>
    <t>ANON-0000-0000-0332</t>
  </si>
  <si>
    <t>ANON-0000-0000-0333</t>
  </si>
  <si>
    <t>ANON-0000-0000-0334</t>
  </si>
  <si>
    <t>ANON-0000-0000-0335</t>
  </si>
  <si>
    <t>ANON-0000-0000-0336</t>
  </si>
  <si>
    <t>ANON-0000-0000-0337</t>
  </si>
  <si>
    <t>ANON-0000-0000-0338</t>
  </si>
  <si>
    <t>ANON-0000-0000-0339</t>
  </si>
  <si>
    <t>ANON-0000-0000-0340</t>
  </si>
  <si>
    <t>ANON-0000-0000-0341</t>
  </si>
  <si>
    <t>ANON-0000-0000-0342</t>
  </si>
  <si>
    <t>ANON-0000-0000-0343</t>
  </si>
  <si>
    <t>ANON-0000-0000-0344</t>
  </si>
  <si>
    <t>ANON-0000-0000-0345</t>
  </si>
  <si>
    <t>ANON-0000-0000-0346</t>
  </si>
  <si>
    <t>ANON-0000-0000-0347</t>
  </si>
  <si>
    <t>ANON-0000-0000-0348</t>
  </si>
  <si>
    <t>ANON-0000-0000-0349</t>
  </si>
  <si>
    <t>ANON-0000-0000-0350</t>
  </si>
  <si>
    <t>ANON-0000-0000-0351</t>
  </si>
  <si>
    <t>ANON-0000-0000-0352</t>
  </si>
  <si>
    <t>ANON-0000-0000-0353</t>
  </si>
  <si>
    <t>ANON-0000-0000-0354</t>
  </si>
  <si>
    <t>ANON-0000-0000-0355</t>
  </si>
  <si>
    <t>ANON-0000-0000-0356</t>
  </si>
  <si>
    <t>ANON-0000-0000-0357</t>
  </si>
  <si>
    <t>ANON-0000-0000-0358</t>
  </si>
  <si>
    <t>ANON-0000-0000-0359</t>
  </si>
  <si>
    <t>ANON-0000-0000-0360</t>
  </si>
  <si>
    <t>ANON-0000-0000-0361</t>
  </si>
  <si>
    <t>ANON-0000-0000-0362</t>
  </si>
  <si>
    <t>ANON-0000-0000-0363</t>
  </si>
  <si>
    <t>ANON-0000-0000-0364</t>
  </si>
  <si>
    <t>ANON-0000-0000-0365</t>
  </si>
  <si>
    <t>ANON-0000-0000-0366</t>
  </si>
  <si>
    <t>ANON-0000-0000-0367</t>
  </si>
  <si>
    <t>ANON-0000-0000-0368</t>
  </si>
  <si>
    <t>ANON-0000-0000-0369</t>
  </si>
  <si>
    <t>ANON-0000-0000-0370</t>
  </si>
  <si>
    <t>ANON-0000-0000-0371</t>
  </si>
  <si>
    <t>ANON-0000-0000-0372</t>
  </si>
  <si>
    <t>ANON-0000-0000-0373</t>
  </si>
  <si>
    <t>ANON-0000-0000-0374</t>
  </si>
  <si>
    <t>ANON-0000-0000-0375</t>
  </si>
  <si>
    <t>ANON-0000-0000-0376</t>
  </si>
  <si>
    <t>ANON-0000-0000-0377</t>
  </si>
  <si>
    <t>ANON-0000-0000-0378</t>
  </si>
  <si>
    <t>ANON-0000-0000-0379</t>
  </si>
  <si>
    <t>ANON-0000-0000-0380</t>
  </si>
  <si>
    <t>ANON-0000-0000-0381</t>
  </si>
  <si>
    <t>ANON-0000-0000-0382</t>
  </si>
  <si>
    <t>ANON-0000-0000-0383</t>
  </si>
  <si>
    <t>ANON-0000-0000-0384</t>
  </si>
  <si>
    <t>ANON-0000-0000-0385</t>
  </si>
  <si>
    <t>ANON-0000-0000-0386</t>
  </si>
  <si>
    <t>ANON-0000-0000-0387</t>
  </si>
  <si>
    <t>ANON-0000-0000-0388</t>
  </si>
  <si>
    <t>ANON-0000-0000-0389</t>
  </si>
  <si>
    <t>ANON-0000-0000-0390</t>
  </si>
  <si>
    <t>ANON-0000-0000-0391</t>
  </si>
  <si>
    <t>ANON-0000-0000-0392</t>
  </si>
  <si>
    <t>ANON-0000-0000-0393</t>
  </si>
  <si>
    <t>ANON-0000-0000-0394</t>
  </si>
  <si>
    <t>ANON-0000-0000-0395</t>
  </si>
  <si>
    <t>ANON-0000-0000-0396</t>
  </si>
  <si>
    <t>ANON-0000-0000-0397</t>
  </si>
  <si>
    <t>ANON-0000-0000-0398</t>
  </si>
  <si>
    <t>ANON-0000-0000-0399</t>
  </si>
  <si>
    <t>ANON-0000-0000-0400</t>
  </si>
  <si>
    <t>ANON-0000-0000-0401</t>
  </si>
  <si>
    <t>ANON-0000-0000-0402</t>
  </si>
  <si>
    <t>ANON-0000-0000-0403</t>
  </si>
  <si>
    <t>ANON-0000-0000-0404</t>
  </si>
  <si>
    <t>ANON-0000-0000-0405</t>
  </si>
  <si>
    <t>ANON-0000-0000-0406</t>
  </si>
  <si>
    <t>ANON-0000-0000-0407</t>
  </si>
  <si>
    <t>ANON-0000-0000-0408</t>
  </si>
  <si>
    <t>ANON-0000-0000-0409</t>
  </si>
  <si>
    <t>ANON-0000-0000-0410</t>
  </si>
  <si>
    <t>ANON-0000-0000-0411</t>
  </si>
  <si>
    <t>ANON-0000-0000-0412</t>
  </si>
  <si>
    <t>ANON-0000-0000-0413</t>
  </si>
  <si>
    <t>ANON-0000-0000-0414</t>
  </si>
  <si>
    <t>ANON-0000-0000-0415</t>
  </si>
  <si>
    <t>ANON-0000-0000-0416</t>
  </si>
  <si>
    <t>ANON-0000-0000-0417</t>
  </si>
  <si>
    <t>ANON-0000-0000-0418</t>
  </si>
  <si>
    <t>ANON-0000-0000-0419</t>
  </si>
  <si>
    <t>ANON-0000-0000-0420</t>
  </si>
  <si>
    <t>ANON-0000-0000-0421</t>
  </si>
  <si>
    <t>ANON-0000-0000-0422</t>
  </si>
  <si>
    <t>ANON-0000-0000-0423</t>
  </si>
  <si>
    <t>ANON-0000-0000-0424</t>
  </si>
  <si>
    <t>ANON-0000-0000-0425</t>
  </si>
  <si>
    <t>ANON-0000-0000-0426</t>
  </si>
  <si>
    <t>ANON-0000-0000-0427</t>
  </si>
  <si>
    <t>ANON-0000-0000-0428</t>
  </si>
  <si>
    <t>ANON-0000-0000-0429</t>
  </si>
  <si>
    <t>ANON-0000-0000-0430</t>
  </si>
  <si>
    <t>ANON-0000-0000-0431</t>
  </si>
  <si>
    <t>ANON-0000-0000-0432</t>
  </si>
  <si>
    <t>ANON-0000-0000-0433</t>
  </si>
  <si>
    <t>ANON-0000-0000-0434</t>
  </si>
  <si>
    <t>ANON-0000-0000-0435</t>
  </si>
  <si>
    <t>ANON-0000-0000-0436</t>
  </si>
  <si>
    <t>ANON-0000-0000-0437</t>
  </si>
  <si>
    <t>ANON-0000-0000-0438</t>
  </si>
  <si>
    <t>ANON-0000-0000-0439</t>
  </si>
  <si>
    <t>ANON-0000-0000-0440</t>
  </si>
  <si>
    <t>ANON-0000-0000-0441</t>
  </si>
  <si>
    <t>ANON-0000-0000-0442</t>
  </si>
  <si>
    <t>ANON-0000-0000-0443</t>
  </si>
  <si>
    <t>ANON-0000-0000-0444</t>
  </si>
  <si>
    <t>ANON-0000-0000-0445</t>
  </si>
  <si>
    <t>ANON-0000-0000-0446</t>
  </si>
  <si>
    <t>year</t>
  </si>
  <si>
    <t>MONTH</t>
  </si>
  <si>
    <t>HOUR</t>
  </si>
  <si>
    <t>Row Labels</t>
  </si>
  <si>
    <t>Grand Total</t>
  </si>
  <si>
    <t>Sum of money</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</si>
</sst>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8" x14ac:knownFonts="1">
    <font>
      <sz val="11"/>
      <color theme="1"/>
      <name val="Trebuchet MS"/>
      <family val="2"/>
      <scheme val="minor"/>
    </font>
    <font>
      <sz val="11"/>
      <color theme="1"/>
      <name val="Trebuchet MS"/>
      <family val="2"/>
      <scheme val="minor"/>
    </font>
    <font>
      <sz val="18"/>
      <color theme="3"/>
      <name val="Trebuchet MS"/>
      <family val="2"/>
      <scheme val="major"/>
    </font>
    <font>
      <b/>
      <sz val="15"/>
      <color theme="3"/>
      <name val="Trebuchet MS"/>
      <family val="2"/>
      <scheme val="minor"/>
    </font>
    <font>
      <b/>
      <sz val="13"/>
      <color theme="3"/>
      <name val="Trebuchet MS"/>
      <family val="2"/>
      <scheme val="minor"/>
    </font>
    <font>
      <b/>
      <sz val="11"/>
      <color theme="3"/>
      <name val="Trebuchet MS"/>
      <family val="2"/>
      <scheme val="minor"/>
    </font>
    <font>
      <sz val="11"/>
      <color rgb="FF006100"/>
      <name val="Trebuchet MS"/>
      <family val="2"/>
      <scheme val="minor"/>
    </font>
    <font>
      <sz val="11"/>
      <color rgb="FF9C0006"/>
      <name val="Trebuchet MS"/>
      <family val="2"/>
      <scheme val="minor"/>
    </font>
    <font>
      <sz val="11"/>
      <color rgb="FF9C6500"/>
      <name val="Trebuchet MS"/>
      <family val="2"/>
      <scheme val="minor"/>
    </font>
    <font>
      <sz val="11"/>
      <color rgb="FF3F3F76"/>
      <name val="Trebuchet MS"/>
      <family val="2"/>
      <scheme val="minor"/>
    </font>
    <font>
      <b/>
      <sz val="11"/>
      <color rgb="FF3F3F3F"/>
      <name val="Trebuchet MS"/>
      <family val="2"/>
      <scheme val="minor"/>
    </font>
    <font>
      <b/>
      <sz val="11"/>
      <color rgb="FFFA7D00"/>
      <name val="Trebuchet MS"/>
      <family val="2"/>
      <scheme val="minor"/>
    </font>
    <font>
      <sz val="11"/>
      <color rgb="FFFA7D00"/>
      <name val="Trebuchet MS"/>
      <family val="2"/>
      <scheme val="minor"/>
    </font>
    <font>
      <b/>
      <sz val="11"/>
      <color theme="0"/>
      <name val="Trebuchet MS"/>
      <family val="2"/>
      <scheme val="minor"/>
    </font>
    <font>
      <sz val="11"/>
      <color rgb="FFFF0000"/>
      <name val="Trebuchet MS"/>
      <family val="2"/>
      <scheme val="minor"/>
    </font>
    <font>
      <i/>
      <sz val="11"/>
      <color rgb="FF7F7F7F"/>
      <name val="Trebuchet MS"/>
      <family val="2"/>
      <scheme val="minor"/>
    </font>
    <font>
      <b/>
      <sz val="11"/>
      <color theme="1"/>
      <name val="Trebuchet MS"/>
      <family val="2"/>
      <scheme val="minor"/>
    </font>
    <font>
      <sz val="11"/>
      <color theme="0"/>
      <name val="Trebuchet MS"/>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9">
    <xf numFmtId="0" fontId="0" fillId="0" borderId="0" xfId="0"/>
    <xf numFmtId="14" fontId="0" fillId="0" borderId="0" xfId="0" applyNumberFormat="1"/>
    <xf numFmtId="2" fontId="0" fillId="0" borderId="0" xfId="0" applyNumberFormat="1"/>
    <xf numFmtId="164" fontId="0" fillId="0" borderId="0" xfId="0" applyNumberFormat="1"/>
    <xf numFmtId="1"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applyNumberFormat="1"/>
    <xf numFmtId="0" fontId="0" fillId="0" borderId="0" xfId="0" pivotButton="1"/>
    <xf numFmtId="1" fontId="0" fillId="0" borderId="0" xfId="0" applyNumberFormat="1" applyAlignment="1">
      <alignment horizontal="left"/>
    </xf>
    <xf numFmtId="14" fontId="0" fillId="0" borderId="0" xfId="0" applyNumberFormat="1" applyAlignment="1">
      <alignment horizontal="left"/>
    </xf>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164" formatCode="0.0"/>
    </dxf>
    <dxf>
      <numFmt numFmtId="1" formatCode="0"/>
    </dxf>
    <dxf>
      <numFmt numFmtId="2" formatCode="0.00"/>
    </dxf>
    <dxf>
      <numFmt numFmtId="1" formatCode="0"/>
    </dxf>
    <dxf>
      <numFmt numFmtId="1" formatCode="0"/>
    </dxf>
    <dxf>
      <numFmt numFmtId="19" formatCode="dd/mm/yyyy"/>
    </dxf>
    <dxf>
      <numFmt numFmtId="19" formatCode="dd/mm/yyyy"/>
    </dxf>
  </dxfs>
  <tableStyles count="0" defaultTableStyle="TableStyleMedium2" defaultPivotStyle="PivotStyleLight16"/>
  <colors>
    <mruColors>
      <color rgb="FF6B4433"/>
      <color rgb="FFE9EF6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 BACKUP.XLSX]Sheet2!PivotTable2</c:name>
    <c:fmtId val="1"/>
  </c:pivotSource>
  <c:chart>
    <c:autoTitleDeleted val="1"/>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none"/>
          </c:marker>
          <c:cat>
            <c:strRef>
              <c:f>Sheet2!$A$4:$A$154</c:f>
              <c:strCache>
                <c:ptCount val="150"/>
                <c:pt idx="0">
                  <c:v>01-03-2024</c:v>
                </c:pt>
                <c:pt idx="1">
                  <c:v>02-03-2024</c:v>
                </c:pt>
                <c:pt idx="2">
                  <c:v>03-03-2024</c:v>
                </c:pt>
                <c:pt idx="3">
                  <c:v>04-03-2024</c:v>
                </c:pt>
                <c:pt idx="4">
                  <c:v>05-03-2024</c:v>
                </c:pt>
                <c:pt idx="5">
                  <c:v>06-03-2024</c:v>
                </c:pt>
                <c:pt idx="6">
                  <c:v>07-03-2024</c:v>
                </c:pt>
                <c:pt idx="7">
                  <c:v>08-03-2024</c:v>
                </c:pt>
                <c:pt idx="8">
                  <c:v>09-03-2024</c:v>
                </c:pt>
                <c:pt idx="9">
                  <c:v>10-03-2024</c:v>
                </c:pt>
                <c:pt idx="10">
                  <c:v>11-03-2024</c:v>
                </c:pt>
                <c:pt idx="11">
                  <c:v>12-03-2024</c:v>
                </c:pt>
                <c:pt idx="12">
                  <c:v>13-03-2024</c:v>
                </c:pt>
                <c:pt idx="13">
                  <c:v>14-03-2024</c:v>
                </c:pt>
                <c:pt idx="14">
                  <c:v>15-03-2024</c:v>
                </c:pt>
                <c:pt idx="15">
                  <c:v>16-03-2024</c:v>
                </c:pt>
                <c:pt idx="16">
                  <c:v>17-03-2024</c:v>
                </c:pt>
                <c:pt idx="17">
                  <c:v>18-03-2024</c:v>
                </c:pt>
                <c:pt idx="18">
                  <c:v>19-03-2024</c:v>
                </c:pt>
                <c:pt idx="19">
                  <c:v>20-03-2024</c:v>
                </c:pt>
                <c:pt idx="20">
                  <c:v>21-03-2024</c:v>
                </c:pt>
                <c:pt idx="21">
                  <c:v>22-03-2024</c:v>
                </c:pt>
                <c:pt idx="22">
                  <c:v>23-03-2024</c:v>
                </c:pt>
                <c:pt idx="23">
                  <c:v>24-03-2024</c:v>
                </c:pt>
                <c:pt idx="24">
                  <c:v>25-03-2024</c:v>
                </c:pt>
                <c:pt idx="25">
                  <c:v>26-03-2024</c:v>
                </c:pt>
                <c:pt idx="26">
                  <c:v>27-03-2024</c:v>
                </c:pt>
                <c:pt idx="27">
                  <c:v>28-03-2024</c:v>
                </c:pt>
                <c:pt idx="28">
                  <c:v>29-03-2024</c:v>
                </c:pt>
                <c:pt idx="29">
                  <c:v>30-03-2024</c:v>
                </c:pt>
                <c:pt idx="30">
                  <c:v>31-03-2024</c:v>
                </c:pt>
                <c:pt idx="31">
                  <c:v>01-04-2024</c:v>
                </c:pt>
                <c:pt idx="32">
                  <c:v>02-04-2024</c:v>
                </c:pt>
                <c:pt idx="33">
                  <c:v>03-04-2024</c:v>
                </c:pt>
                <c:pt idx="34">
                  <c:v>04-04-2024</c:v>
                </c:pt>
                <c:pt idx="35">
                  <c:v>05-04-2024</c:v>
                </c:pt>
                <c:pt idx="36">
                  <c:v>06-04-2024</c:v>
                </c:pt>
                <c:pt idx="37">
                  <c:v>07-04-2024</c:v>
                </c:pt>
                <c:pt idx="38">
                  <c:v>08-04-2024</c:v>
                </c:pt>
                <c:pt idx="39">
                  <c:v>09-04-2024</c:v>
                </c:pt>
                <c:pt idx="40">
                  <c:v>10-04-2024</c:v>
                </c:pt>
                <c:pt idx="41">
                  <c:v>11-04-2024</c:v>
                </c:pt>
                <c:pt idx="42">
                  <c:v>12-04-2024</c:v>
                </c:pt>
                <c:pt idx="43">
                  <c:v>13-04-2024</c:v>
                </c:pt>
                <c:pt idx="44">
                  <c:v>14-04-2024</c:v>
                </c:pt>
                <c:pt idx="45">
                  <c:v>15-04-2024</c:v>
                </c:pt>
                <c:pt idx="46">
                  <c:v>16-04-2024</c:v>
                </c:pt>
                <c:pt idx="47">
                  <c:v>17-04-2024</c:v>
                </c:pt>
                <c:pt idx="48">
                  <c:v>18-04-2024</c:v>
                </c:pt>
                <c:pt idx="49">
                  <c:v>19-04-2024</c:v>
                </c:pt>
                <c:pt idx="50">
                  <c:v>20-04-2024</c:v>
                </c:pt>
                <c:pt idx="51">
                  <c:v>21-04-2024</c:v>
                </c:pt>
                <c:pt idx="52">
                  <c:v>22-04-2024</c:v>
                </c:pt>
                <c:pt idx="53">
                  <c:v>23-04-2024</c:v>
                </c:pt>
                <c:pt idx="54">
                  <c:v>24-04-2024</c:v>
                </c:pt>
                <c:pt idx="55">
                  <c:v>25-04-2024</c:v>
                </c:pt>
                <c:pt idx="56">
                  <c:v>26-04-2024</c:v>
                </c:pt>
                <c:pt idx="57">
                  <c:v>27-04-2024</c:v>
                </c:pt>
                <c:pt idx="58">
                  <c:v>28-04-2024</c:v>
                </c:pt>
                <c:pt idx="59">
                  <c:v>29-04-2024</c:v>
                </c:pt>
                <c:pt idx="60">
                  <c:v>30-04-2024</c:v>
                </c:pt>
                <c:pt idx="61">
                  <c:v>02-05-2024</c:v>
                </c:pt>
                <c:pt idx="62">
                  <c:v>03-05-2024</c:v>
                </c:pt>
                <c:pt idx="63">
                  <c:v>06-05-2024</c:v>
                </c:pt>
                <c:pt idx="64">
                  <c:v>07-05-2024</c:v>
                </c:pt>
                <c:pt idx="65">
                  <c:v>08-05-2024</c:v>
                </c:pt>
                <c:pt idx="66">
                  <c:v>09-05-2024</c:v>
                </c:pt>
                <c:pt idx="67">
                  <c:v>10-05-2024</c:v>
                </c:pt>
                <c:pt idx="68">
                  <c:v>11-05-2024</c:v>
                </c:pt>
                <c:pt idx="69">
                  <c:v>12-05-2024</c:v>
                </c:pt>
                <c:pt idx="70">
                  <c:v>13-05-2024</c:v>
                </c:pt>
                <c:pt idx="71">
                  <c:v>14-05-2024</c:v>
                </c:pt>
                <c:pt idx="72">
                  <c:v>15-05-2024</c:v>
                </c:pt>
                <c:pt idx="73">
                  <c:v>16-05-2024</c:v>
                </c:pt>
                <c:pt idx="74">
                  <c:v>17-05-2024</c:v>
                </c:pt>
                <c:pt idx="75">
                  <c:v>18-05-2024</c:v>
                </c:pt>
                <c:pt idx="76">
                  <c:v>19-05-2024</c:v>
                </c:pt>
                <c:pt idx="77">
                  <c:v>20-05-2024</c:v>
                </c:pt>
                <c:pt idx="78">
                  <c:v>21-05-2024</c:v>
                </c:pt>
                <c:pt idx="79">
                  <c:v>22-05-2024</c:v>
                </c:pt>
                <c:pt idx="80">
                  <c:v>23-05-2024</c:v>
                </c:pt>
                <c:pt idx="81">
                  <c:v>24-05-2024</c:v>
                </c:pt>
                <c:pt idx="82">
                  <c:v>25-05-2024</c:v>
                </c:pt>
                <c:pt idx="83">
                  <c:v>26-05-2024</c:v>
                </c:pt>
                <c:pt idx="84">
                  <c:v>27-05-2024</c:v>
                </c:pt>
                <c:pt idx="85">
                  <c:v>28-05-2024</c:v>
                </c:pt>
                <c:pt idx="86">
                  <c:v>29-05-2024</c:v>
                </c:pt>
                <c:pt idx="87">
                  <c:v>30-05-2024</c:v>
                </c:pt>
                <c:pt idx="88">
                  <c:v>31-05-2024</c:v>
                </c:pt>
                <c:pt idx="89">
                  <c:v>01-06-2024</c:v>
                </c:pt>
                <c:pt idx="90">
                  <c:v>02-06-2024</c:v>
                </c:pt>
                <c:pt idx="91">
                  <c:v>03-06-2024</c:v>
                </c:pt>
                <c:pt idx="92">
                  <c:v>04-06-2024</c:v>
                </c:pt>
                <c:pt idx="93">
                  <c:v>05-06-2024</c:v>
                </c:pt>
                <c:pt idx="94">
                  <c:v>06-06-2024</c:v>
                </c:pt>
                <c:pt idx="95">
                  <c:v>07-06-2024</c:v>
                </c:pt>
                <c:pt idx="96">
                  <c:v>08-06-2024</c:v>
                </c:pt>
                <c:pt idx="97">
                  <c:v>09-06-2024</c:v>
                </c:pt>
                <c:pt idx="98">
                  <c:v>10-06-2024</c:v>
                </c:pt>
                <c:pt idx="99">
                  <c:v>11-06-2024</c:v>
                </c:pt>
                <c:pt idx="100">
                  <c:v>12-06-2024</c:v>
                </c:pt>
                <c:pt idx="101">
                  <c:v>13-06-2024</c:v>
                </c:pt>
                <c:pt idx="102">
                  <c:v>14-06-2024</c:v>
                </c:pt>
                <c:pt idx="103">
                  <c:v>15-06-2024</c:v>
                </c:pt>
                <c:pt idx="104">
                  <c:v>16-06-2024</c:v>
                </c:pt>
                <c:pt idx="105">
                  <c:v>17-06-2024</c:v>
                </c:pt>
                <c:pt idx="106">
                  <c:v>18-06-2024</c:v>
                </c:pt>
                <c:pt idx="107">
                  <c:v>19-06-2024</c:v>
                </c:pt>
                <c:pt idx="108">
                  <c:v>20-06-2024</c:v>
                </c:pt>
                <c:pt idx="109">
                  <c:v>21-06-2024</c:v>
                </c:pt>
                <c:pt idx="110">
                  <c:v>22-06-2024</c:v>
                </c:pt>
                <c:pt idx="111">
                  <c:v>23-06-2024</c:v>
                </c:pt>
                <c:pt idx="112">
                  <c:v>24-06-2024</c:v>
                </c:pt>
                <c:pt idx="113">
                  <c:v>25-06-2024</c:v>
                </c:pt>
                <c:pt idx="114">
                  <c:v>26-06-2024</c:v>
                </c:pt>
                <c:pt idx="115">
                  <c:v>27-06-2024</c:v>
                </c:pt>
                <c:pt idx="116">
                  <c:v>28-06-2024</c:v>
                </c:pt>
                <c:pt idx="117">
                  <c:v>29-06-2024</c:v>
                </c:pt>
                <c:pt idx="118">
                  <c:v>30-06-2024</c:v>
                </c:pt>
                <c:pt idx="119">
                  <c:v>01-07-2024</c:v>
                </c:pt>
                <c:pt idx="120">
                  <c:v>02-07-2024</c:v>
                </c:pt>
                <c:pt idx="121">
                  <c:v>03-07-2024</c:v>
                </c:pt>
                <c:pt idx="122">
                  <c:v>04-07-2024</c:v>
                </c:pt>
                <c:pt idx="123">
                  <c:v>05-07-2024</c:v>
                </c:pt>
                <c:pt idx="124">
                  <c:v>06-07-2024</c:v>
                </c:pt>
                <c:pt idx="125">
                  <c:v>07-07-2024</c:v>
                </c:pt>
                <c:pt idx="126">
                  <c:v>08-07-2024</c:v>
                </c:pt>
                <c:pt idx="127">
                  <c:v>09-07-2024</c:v>
                </c:pt>
                <c:pt idx="128">
                  <c:v>10-07-2024</c:v>
                </c:pt>
                <c:pt idx="129">
                  <c:v>11-07-2024</c:v>
                </c:pt>
                <c:pt idx="130">
                  <c:v>12-07-2024</c:v>
                </c:pt>
                <c:pt idx="131">
                  <c:v>13-07-2024</c:v>
                </c:pt>
                <c:pt idx="132">
                  <c:v>14-07-2024</c:v>
                </c:pt>
                <c:pt idx="133">
                  <c:v>15-07-2024</c:v>
                </c:pt>
                <c:pt idx="134">
                  <c:v>16-07-2024</c:v>
                </c:pt>
                <c:pt idx="135">
                  <c:v>17-07-2024</c:v>
                </c:pt>
                <c:pt idx="136">
                  <c:v>18-07-2024</c:v>
                </c:pt>
                <c:pt idx="137">
                  <c:v>19-07-2024</c:v>
                </c:pt>
                <c:pt idx="138">
                  <c:v>20-07-2024</c:v>
                </c:pt>
                <c:pt idx="139">
                  <c:v>21-07-2024</c:v>
                </c:pt>
                <c:pt idx="140">
                  <c:v>22-07-2024</c:v>
                </c:pt>
                <c:pt idx="141">
                  <c:v>23-07-2024</c:v>
                </c:pt>
                <c:pt idx="142">
                  <c:v>24-07-2024</c:v>
                </c:pt>
                <c:pt idx="143">
                  <c:v>25-07-2024</c:v>
                </c:pt>
                <c:pt idx="144">
                  <c:v>26-07-2024</c:v>
                </c:pt>
                <c:pt idx="145">
                  <c:v>27-07-2024</c:v>
                </c:pt>
                <c:pt idx="146">
                  <c:v>28-07-2024</c:v>
                </c:pt>
                <c:pt idx="147">
                  <c:v>29-07-2024</c:v>
                </c:pt>
                <c:pt idx="148">
                  <c:v>30-07-2024</c:v>
                </c:pt>
                <c:pt idx="149">
                  <c:v>31-07-2024</c:v>
                </c:pt>
              </c:strCache>
            </c:strRef>
          </c:cat>
          <c:val>
            <c:numRef>
              <c:f>Sheet2!$B$4:$B$154</c:f>
              <c:numCache>
                <c:formatCode>General</c:formatCode>
                <c:ptCount val="150"/>
                <c:pt idx="0">
                  <c:v>396.3</c:v>
                </c:pt>
                <c:pt idx="1">
                  <c:v>228.1</c:v>
                </c:pt>
                <c:pt idx="2">
                  <c:v>349.09999999999997</c:v>
                </c:pt>
                <c:pt idx="3">
                  <c:v>135.19999999999999</c:v>
                </c:pt>
                <c:pt idx="4">
                  <c:v>338.49999999999994</c:v>
                </c:pt>
                <c:pt idx="5">
                  <c:v>170.2</c:v>
                </c:pt>
                <c:pt idx="6">
                  <c:v>220.10000000000002</c:v>
                </c:pt>
                <c:pt idx="7">
                  <c:v>265.5</c:v>
                </c:pt>
                <c:pt idx="8">
                  <c:v>479.4</c:v>
                </c:pt>
                <c:pt idx="9">
                  <c:v>231.6</c:v>
                </c:pt>
                <c:pt idx="10">
                  <c:v>275.2</c:v>
                </c:pt>
                <c:pt idx="11">
                  <c:v>228.10000000000002</c:v>
                </c:pt>
                <c:pt idx="12">
                  <c:v>256.2</c:v>
                </c:pt>
                <c:pt idx="13">
                  <c:v>397.09999999999997</c:v>
                </c:pt>
                <c:pt idx="14">
                  <c:v>107.6</c:v>
                </c:pt>
                <c:pt idx="15">
                  <c:v>183.2</c:v>
                </c:pt>
                <c:pt idx="16">
                  <c:v>68.900000000000006</c:v>
                </c:pt>
                <c:pt idx="17">
                  <c:v>115.6</c:v>
                </c:pt>
                <c:pt idx="18">
                  <c:v>219.90000000000003</c:v>
                </c:pt>
                <c:pt idx="19">
                  <c:v>213.89999999999998</c:v>
                </c:pt>
                <c:pt idx="20">
                  <c:v>205.20000000000005</c:v>
                </c:pt>
                <c:pt idx="21">
                  <c:v>189.4</c:v>
                </c:pt>
                <c:pt idx="22">
                  <c:v>285.09999999999997</c:v>
                </c:pt>
                <c:pt idx="23">
                  <c:v>78.7</c:v>
                </c:pt>
                <c:pt idx="24">
                  <c:v>223.60000000000002</c:v>
                </c:pt>
                <c:pt idx="25">
                  <c:v>376.7</c:v>
                </c:pt>
                <c:pt idx="26">
                  <c:v>271.7</c:v>
                </c:pt>
                <c:pt idx="27">
                  <c:v>125.39999999999999</c:v>
                </c:pt>
                <c:pt idx="28">
                  <c:v>156.10000000000002</c:v>
                </c:pt>
                <c:pt idx="29">
                  <c:v>189.90000000000003</c:v>
                </c:pt>
                <c:pt idx="30">
                  <c:v>68.7</c:v>
                </c:pt>
                <c:pt idx="31">
                  <c:v>242.8</c:v>
                </c:pt>
                <c:pt idx="32">
                  <c:v>136.5</c:v>
                </c:pt>
                <c:pt idx="33">
                  <c:v>126.5</c:v>
                </c:pt>
                <c:pt idx="34">
                  <c:v>185</c:v>
                </c:pt>
                <c:pt idx="35">
                  <c:v>362.1</c:v>
                </c:pt>
                <c:pt idx="36">
                  <c:v>140.10000000000002</c:v>
                </c:pt>
                <c:pt idx="37">
                  <c:v>241.5</c:v>
                </c:pt>
                <c:pt idx="38">
                  <c:v>340.2</c:v>
                </c:pt>
                <c:pt idx="39">
                  <c:v>186.10000000000002</c:v>
                </c:pt>
                <c:pt idx="40">
                  <c:v>166.4</c:v>
                </c:pt>
                <c:pt idx="41">
                  <c:v>169</c:v>
                </c:pt>
                <c:pt idx="42">
                  <c:v>67.599999999999994</c:v>
                </c:pt>
                <c:pt idx="43">
                  <c:v>302.39999999999998</c:v>
                </c:pt>
                <c:pt idx="44">
                  <c:v>434.2999999999999</c:v>
                </c:pt>
                <c:pt idx="45">
                  <c:v>150.39999999999998</c:v>
                </c:pt>
                <c:pt idx="46">
                  <c:v>276.5</c:v>
                </c:pt>
                <c:pt idx="47">
                  <c:v>199.20000000000002</c:v>
                </c:pt>
                <c:pt idx="48">
                  <c:v>352.69999999999993</c:v>
                </c:pt>
                <c:pt idx="49">
                  <c:v>261.10000000000002</c:v>
                </c:pt>
                <c:pt idx="50">
                  <c:v>494.30000000000007</c:v>
                </c:pt>
                <c:pt idx="51">
                  <c:v>104.64</c:v>
                </c:pt>
                <c:pt idx="52">
                  <c:v>176.46</c:v>
                </c:pt>
                <c:pt idx="53">
                  <c:v>173.89999999999998</c:v>
                </c:pt>
                <c:pt idx="54">
                  <c:v>272.35999999999996</c:v>
                </c:pt>
                <c:pt idx="55">
                  <c:v>121.48</c:v>
                </c:pt>
                <c:pt idx="56">
                  <c:v>300.28000000000009</c:v>
                </c:pt>
                <c:pt idx="57">
                  <c:v>37.72</c:v>
                </c:pt>
                <c:pt idx="58">
                  <c:v>169</c:v>
                </c:pt>
                <c:pt idx="59">
                  <c:v>257.65999999999997</c:v>
                </c:pt>
                <c:pt idx="60">
                  <c:v>272.35999999999996</c:v>
                </c:pt>
                <c:pt idx="61">
                  <c:v>245.72</c:v>
                </c:pt>
                <c:pt idx="62">
                  <c:v>114.44</c:v>
                </c:pt>
                <c:pt idx="63">
                  <c:v>314.58000000000004</c:v>
                </c:pt>
                <c:pt idx="64">
                  <c:v>344.08000000000004</c:v>
                </c:pt>
                <c:pt idx="65">
                  <c:v>37.72</c:v>
                </c:pt>
                <c:pt idx="66">
                  <c:v>295.38</c:v>
                </c:pt>
                <c:pt idx="67">
                  <c:v>148.44</c:v>
                </c:pt>
                <c:pt idx="68">
                  <c:v>293.24</c:v>
                </c:pt>
                <c:pt idx="69">
                  <c:v>272.35999999999996</c:v>
                </c:pt>
                <c:pt idx="70">
                  <c:v>90.82</c:v>
                </c:pt>
                <c:pt idx="71">
                  <c:v>403.64</c:v>
                </c:pt>
                <c:pt idx="72">
                  <c:v>350.82000000000005</c:v>
                </c:pt>
                <c:pt idx="73">
                  <c:v>327.34000000000003</c:v>
                </c:pt>
                <c:pt idx="74">
                  <c:v>306.36</c:v>
                </c:pt>
                <c:pt idx="75">
                  <c:v>283.43999999999994</c:v>
                </c:pt>
                <c:pt idx="76">
                  <c:v>417.84000000000003</c:v>
                </c:pt>
                <c:pt idx="77">
                  <c:v>559.0200000000001</c:v>
                </c:pt>
                <c:pt idx="78">
                  <c:v>314.89999999999998</c:v>
                </c:pt>
                <c:pt idx="79">
                  <c:v>370.82000000000005</c:v>
                </c:pt>
                <c:pt idx="80">
                  <c:v>575.4000000000002</c:v>
                </c:pt>
                <c:pt idx="81">
                  <c:v>210.14</c:v>
                </c:pt>
                <c:pt idx="82">
                  <c:v>254.91999999999996</c:v>
                </c:pt>
                <c:pt idx="83">
                  <c:v>526.60000000000014</c:v>
                </c:pt>
                <c:pt idx="84">
                  <c:v>365.91999999999996</c:v>
                </c:pt>
                <c:pt idx="85">
                  <c:v>372.1</c:v>
                </c:pt>
                <c:pt idx="86">
                  <c:v>396.6</c:v>
                </c:pt>
                <c:pt idx="87">
                  <c:v>370.82</c:v>
                </c:pt>
                <c:pt idx="88">
                  <c:v>499.96000000000004</c:v>
                </c:pt>
                <c:pt idx="89">
                  <c:v>386.8</c:v>
                </c:pt>
                <c:pt idx="90">
                  <c:v>212.79999999999998</c:v>
                </c:pt>
                <c:pt idx="91">
                  <c:v>251.7</c:v>
                </c:pt>
                <c:pt idx="92">
                  <c:v>474.18</c:v>
                </c:pt>
                <c:pt idx="93">
                  <c:v>310.08</c:v>
                </c:pt>
                <c:pt idx="94">
                  <c:v>385.52</c:v>
                </c:pt>
                <c:pt idx="95">
                  <c:v>149.4</c:v>
                </c:pt>
                <c:pt idx="96">
                  <c:v>136.18</c:v>
                </c:pt>
                <c:pt idx="97">
                  <c:v>436.46000000000004</c:v>
                </c:pt>
                <c:pt idx="98">
                  <c:v>226.32</c:v>
                </c:pt>
                <c:pt idx="99">
                  <c:v>211.61999999999998</c:v>
                </c:pt>
                <c:pt idx="100">
                  <c:v>221.42</c:v>
                </c:pt>
                <c:pt idx="101">
                  <c:v>379.14</c:v>
                </c:pt>
                <c:pt idx="102">
                  <c:v>126.38</c:v>
                </c:pt>
                <c:pt idx="103">
                  <c:v>262.56</c:v>
                </c:pt>
                <c:pt idx="104">
                  <c:v>408.53999999999996</c:v>
                </c:pt>
                <c:pt idx="105">
                  <c:v>323.3</c:v>
                </c:pt>
                <c:pt idx="106">
                  <c:v>234.64</c:v>
                </c:pt>
                <c:pt idx="107">
                  <c:v>380.61999999999995</c:v>
                </c:pt>
                <c:pt idx="108">
                  <c:v>221.42</c:v>
                </c:pt>
                <c:pt idx="109">
                  <c:v>403.6400000000001</c:v>
                </c:pt>
                <c:pt idx="110">
                  <c:v>169</c:v>
                </c:pt>
                <c:pt idx="111">
                  <c:v>178.79999999999998</c:v>
                </c:pt>
                <c:pt idx="112">
                  <c:v>221.42</c:v>
                </c:pt>
                <c:pt idx="113">
                  <c:v>141.07999999999998</c:v>
                </c:pt>
                <c:pt idx="114">
                  <c:v>196.92</c:v>
                </c:pt>
                <c:pt idx="115">
                  <c:v>131.28</c:v>
                </c:pt>
                <c:pt idx="116">
                  <c:v>159.19999999999999</c:v>
                </c:pt>
                <c:pt idx="117">
                  <c:v>287.06</c:v>
                </c:pt>
                <c:pt idx="118">
                  <c:v>131.28</c:v>
                </c:pt>
                <c:pt idx="119">
                  <c:v>98.46</c:v>
                </c:pt>
                <c:pt idx="120">
                  <c:v>192.02</c:v>
                </c:pt>
                <c:pt idx="121">
                  <c:v>310.08000000000004</c:v>
                </c:pt>
                <c:pt idx="122">
                  <c:v>60.74</c:v>
                </c:pt>
                <c:pt idx="123">
                  <c:v>303.7</c:v>
                </c:pt>
                <c:pt idx="124">
                  <c:v>164.09999999999997</c:v>
                </c:pt>
                <c:pt idx="125">
                  <c:v>346.32</c:v>
                </c:pt>
                <c:pt idx="126">
                  <c:v>139.6</c:v>
                </c:pt>
                <c:pt idx="127">
                  <c:v>144.5</c:v>
                </c:pt>
                <c:pt idx="128">
                  <c:v>83.759999999999991</c:v>
                </c:pt>
                <c:pt idx="129">
                  <c:v>116.58</c:v>
                </c:pt>
                <c:pt idx="130">
                  <c:v>154.29999999999998</c:v>
                </c:pt>
                <c:pt idx="131">
                  <c:v>65.64</c:v>
                </c:pt>
                <c:pt idx="132">
                  <c:v>172.42</c:v>
                </c:pt>
                <c:pt idx="133">
                  <c:v>32.82</c:v>
                </c:pt>
                <c:pt idx="134">
                  <c:v>60.74</c:v>
                </c:pt>
                <c:pt idx="135">
                  <c:v>27.92</c:v>
                </c:pt>
                <c:pt idx="136">
                  <c:v>312.02</c:v>
                </c:pt>
                <c:pt idx="137">
                  <c:v>242.95999999999998</c:v>
                </c:pt>
                <c:pt idx="138">
                  <c:v>200.34</c:v>
                </c:pt>
                <c:pt idx="139">
                  <c:v>121.47999999999999</c:v>
                </c:pt>
                <c:pt idx="140">
                  <c:v>106.78</c:v>
                </c:pt>
                <c:pt idx="141">
                  <c:v>339.94</c:v>
                </c:pt>
                <c:pt idx="142">
                  <c:v>330.14</c:v>
                </c:pt>
                <c:pt idx="143">
                  <c:v>269.40000000000003</c:v>
                </c:pt>
                <c:pt idx="144">
                  <c:v>461.41999999999996</c:v>
                </c:pt>
                <c:pt idx="145">
                  <c:v>372.76</c:v>
                </c:pt>
                <c:pt idx="146">
                  <c:v>78.860000000000014</c:v>
                </c:pt>
                <c:pt idx="147">
                  <c:v>321.81999999999994</c:v>
                </c:pt>
                <c:pt idx="148">
                  <c:v>650.48000000000013</c:v>
                </c:pt>
                <c:pt idx="149">
                  <c:v>633.84</c:v>
                </c:pt>
              </c:numCache>
            </c:numRef>
          </c:val>
          <c:smooth val="0"/>
        </c:ser>
        <c:dLbls>
          <c:showLegendKey val="0"/>
          <c:showVal val="0"/>
          <c:showCatName val="0"/>
          <c:showSerName val="0"/>
          <c:showPercent val="0"/>
          <c:showBubbleSize val="0"/>
        </c:dLbls>
        <c:smooth val="0"/>
        <c:axId val="277398912"/>
        <c:axId val="277400480"/>
      </c:lineChart>
      <c:catAx>
        <c:axId val="27739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400480"/>
        <c:crosses val="autoZero"/>
        <c:auto val="1"/>
        <c:lblAlgn val="ctr"/>
        <c:lblOffset val="100"/>
        <c:noMultiLvlLbl val="0"/>
      </c:catAx>
      <c:valAx>
        <c:axId val="277400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3989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cat>
            <c:numRef>
              <c:f>'HOUR VS SALES 2'!$D$4:$D$19</c:f>
              <c:numCache>
                <c:formatCode>0</c:formatCode>
                <c:ptCount val="16"/>
                <c:pt idx="0">
                  <c:v>7</c:v>
                </c:pt>
                <c:pt idx="1">
                  <c:v>8</c:v>
                </c:pt>
                <c:pt idx="2">
                  <c:v>9</c:v>
                </c:pt>
                <c:pt idx="3">
                  <c:v>10</c:v>
                </c:pt>
                <c:pt idx="4">
                  <c:v>11</c:v>
                </c:pt>
                <c:pt idx="5">
                  <c:v>12</c:v>
                </c:pt>
                <c:pt idx="6">
                  <c:v>13</c:v>
                </c:pt>
                <c:pt idx="7">
                  <c:v>14</c:v>
                </c:pt>
                <c:pt idx="8">
                  <c:v>15</c:v>
                </c:pt>
                <c:pt idx="9">
                  <c:v>16</c:v>
                </c:pt>
                <c:pt idx="10">
                  <c:v>17</c:v>
                </c:pt>
                <c:pt idx="11">
                  <c:v>18</c:v>
                </c:pt>
                <c:pt idx="12">
                  <c:v>19</c:v>
                </c:pt>
                <c:pt idx="13">
                  <c:v>20</c:v>
                </c:pt>
                <c:pt idx="14">
                  <c:v>21</c:v>
                </c:pt>
                <c:pt idx="15">
                  <c:v>22</c:v>
                </c:pt>
              </c:numCache>
            </c:numRef>
          </c:cat>
          <c:val>
            <c:numRef>
              <c:f>'HOUR VS SALES 2'!$E$4:$E$19</c:f>
              <c:numCache>
                <c:formatCode>General</c:formatCode>
                <c:ptCount val="16"/>
                <c:pt idx="0">
                  <c:v>392.8</c:v>
                </c:pt>
                <c:pt idx="1">
                  <c:v>1380.3799999999999</c:v>
                </c:pt>
                <c:pt idx="2">
                  <c:v>1515.4800000000005</c:v>
                </c:pt>
                <c:pt idx="3">
                  <c:v>4553.1799999999985</c:v>
                </c:pt>
                <c:pt idx="4">
                  <c:v>3258.64</c:v>
                </c:pt>
                <c:pt idx="5">
                  <c:v>2850.6</c:v>
                </c:pt>
                <c:pt idx="6">
                  <c:v>2511.6000000000031</c:v>
                </c:pt>
                <c:pt idx="7">
                  <c:v>2484.920000000001</c:v>
                </c:pt>
                <c:pt idx="8">
                  <c:v>2158.7600000000007</c:v>
                </c:pt>
                <c:pt idx="9">
                  <c:v>2525.3600000000015</c:v>
                </c:pt>
                <c:pt idx="10">
                  <c:v>2639.0800000000013</c:v>
                </c:pt>
                <c:pt idx="11">
                  <c:v>2558.0400000000004</c:v>
                </c:pt>
                <c:pt idx="12">
                  <c:v>3388.3199999999988</c:v>
                </c:pt>
                <c:pt idx="13">
                  <c:v>1819.9200000000003</c:v>
                </c:pt>
                <c:pt idx="14">
                  <c:v>2343.86</c:v>
                </c:pt>
                <c:pt idx="15">
                  <c:v>1127.9400000000003</c:v>
                </c:pt>
              </c:numCache>
            </c:numRef>
          </c:val>
        </c:ser>
        <c:dLbls>
          <c:showLegendKey val="0"/>
          <c:showVal val="0"/>
          <c:showCatName val="0"/>
          <c:showSerName val="0"/>
          <c:showPercent val="0"/>
          <c:showBubbleSize val="0"/>
        </c:dLbls>
        <c:gapWidth val="219"/>
        <c:overlap val="-27"/>
        <c:axId val="277402440"/>
        <c:axId val="277404400"/>
      </c:barChart>
      <c:catAx>
        <c:axId val="277402440"/>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404400"/>
        <c:crosses val="autoZero"/>
        <c:auto val="1"/>
        <c:lblAlgn val="ctr"/>
        <c:lblOffset val="100"/>
        <c:noMultiLvlLbl val="0"/>
      </c:catAx>
      <c:valAx>
        <c:axId val="2774044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4024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 BACKUP.XLSX]DAILY SALES TREND!PivotTable6</c:name>
    <c:fmtId val="1"/>
  </c:pivotSource>
  <c:chart>
    <c:autoTitleDeleted val="1"/>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'DAILY SALES TREND'!$B$3</c:f>
              <c:strCache>
                <c:ptCount val="1"/>
                <c:pt idx="0">
                  <c:v>Total</c:v>
                </c:pt>
              </c:strCache>
            </c:strRef>
          </c:tx>
          <c:spPr>
            <a:ln w="28575" cap="rnd">
              <a:solidFill>
                <a:schemeClr val="accent1"/>
              </a:solidFill>
              <a:round/>
            </a:ln>
            <a:effectLst/>
          </c:spPr>
          <c:marker>
            <c:symbol val="none"/>
          </c:marker>
          <c:cat>
            <c:strRef>
              <c:f>'DAILY SALES TREND'!$A$4:$A$154</c:f>
              <c:strCache>
                <c:ptCount val="150"/>
                <c:pt idx="0">
                  <c:v>01-03-2024</c:v>
                </c:pt>
                <c:pt idx="1">
                  <c:v>02-03-2024</c:v>
                </c:pt>
                <c:pt idx="2">
                  <c:v>03-03-2024</c:v>
                </c:pt>
                <c:pt idx="3">
                  <c:v>04-03-2024</c:v>
                </c:pt>
                <c:pt idx="4">
                  <c:v>05-03-2024</c:v>
                </c:pt>
                <c:pt idx="5">
                  <c:v>06-03-2024</c:v>
                </c:pt>
                <c:pt idx="6">
                  <c:v>07-03-2024</c:v>
                </c:pt>
                <c:pt idx="7">
                  <c:v>08-03-2024</c:v>
                </c:pt>
                <c:pt idx="8">
                  <c:v>09-03-2024</c:v>
                </c:pt>
                <c:pt idx="9">
                  <c:v>10-03-2024</c:v>
                </c:pt>
                <c:pt idx="10">
                  <c:v>11-03-2024</c:v>
                </c:pt>
                <c:pt idx="11">
                  <c:v>12-03-2024</c:v>
                </c:pt>
                <c:pt idx="12">
                  <c:v>13-03-2024</c:v>
                </c:pt>
                <c:pt idx="13">
                  <c:v>14-03-2024</c:v>
                </c:pt>
                <c:pt idx="14">
                  <c:v>15-03-2024</c:v>
                </c:pt>
                <c:pt idx="15">
                  <c:v>16-03-2024</c:v>
                </c:pt>
                <c:pt idx="16">
                  <c:v>17-03-2024</c:v>
                </c:pt>
                <c:pt idx="17">
                  <c:v>18-03-2024</c:v>
                </c:pt>
                <c:pt idx="18">
                  <c:v>19-03-2024</c:v>
                </c:pt>
                <c:pt idx="19">
                  <c:v>20-03-2024</c:v>
                </c:pt>
                <c:pt idx="20">
                  <c:v>21-03-2024</c:v>
                </c:pt>
                <c:pt idx="21">
                  <c:v>22-03-2024</c:v>
                </c:pt>
                <c:pt idx="22">
                  <c:v>23-03-2024</c:v>
                </c:pt>
                <c:pt idx="23">
                  <c:v>24-03-2024</c:v>
                </c:pt>
                <c:pt idx="24">
                  <c:v>25-03-2024</c:v>
                </c:pt>
                <c:pt idx="25">
                  <c:v>26-03-2024</c:v>
                </c:pt>
                <c:pt idx="26">
                  <c:v>27-03-2024</c:v>
                </c:pt>
                <c:pt idx="27">
                  <c:v>28-03-2024</c:v>
                </c:pt>
                <c:pt idx="28">
                  <c:v>29-03-2024</c:v>
                </c:pt>
                <c:pt idx="29">
                  <c:v>30-03-2024</c:v>
                </c:pt>
                <c:pt idx="30">
                  <c:v>31-03-2024</c:v>
                </c:pt>
                <c:pt idx="31">
                  <c:v>01-04-2024</c:v>
                </c:pt>
                <c:pt idx="32">
                  <c:v>02-04-2024</c:v>
                </c:pt>
                <c:pt idx="33">
                  <c:v>03-04-2024</c:v>
                </c:pt>
                <c:pt idx="34">
                  <c:v>04-04-2024</c:v>
                </c:pt>
                <c:pt idx="35">
                  <c:v>05-04-2024</c:v>
                </c:pt>
                <c:pt idx="36">
                  <c:v>06-04-2024</c:v>
                </c:pt>
                <c:pt idx="37">
                  <c:v>07-04-2024</c:v>
                </c:pt>
                <c:pt idx="38">
                  <c:v>08-04-2024</c:v>
                </c:pt>
                <c:pt idx="39">
                  <c:v>09-04-2024</c:v>
                </c:pt>
                <c:pt idx="40">
                  <c:v>10-04-2024</c:v>
                </c:pt>
                <c:pt idx="41">
                  <c:v>11-04-2024</c:v>
                </c:pt>
                <c:pt idx="42">
                  <c:v>12-04-2024</c:v>
                </c:pt>
                <c:pt idx="43">
                  <c:v>13-04-2024</c:v>
                </c:pt>
                <c:pt idx="44">
                  <c:v>14-04-2024</c:v>
                </c:pt>
                <c:pt idx="45">
                  <c:v>15-04-2024</c:v>
                </c:pt>
                <c:pt idx="46">
                  <c:v>16-04-2024</c:v>
                </c:pt>
                <c:pt idx="47">
                  <c:v>17-04-2024</c:v>
                </c:pt>
                <c:pt idx="48">
                  <c:v>18-04-2024</c:v>
                </c:pt>
                <c:pt idx="49">
                  <c:v>19-04-2024</c:v>
                </c:pt>
                <c:pt idx="50">
                  <c:v>20-04-2024</c:v>
                </c:pt>
                <c:pt idx="51">
                  <c:v>21-04-2024</c:v>
                </c:pt>
                <c:pt idx="52">
                  <c:v>22-04-2024</c:v>
                </c:pt>
                <c:pt idx="53">
                  <c:v>23-04-2024</c:v>
                </c:pt>
                <c:pt idx="54">
                  <c:v>24-04-2024</c:v>
                </c:pt>
                <c:pt idx="55">
                  <c:v>25-04-2024</c:v>
                </c:pt>
                <c:pt idx="56">
                  <c:v>26-04-2024</c:v>
                </c:pt>
                <c:pt idx="57">
                  <c:v>27-04-2024</c:v>
                </c:pt>
                <c:pt idx="58">
                  <c:v>28-04-2024</c:v>
                </c:pt>
                <c:pt idx="59">
                  <c:v>29-04-2024</c:v>
                </c:pt>
                <c:pt idx="60">
                  <c:v>30-04-2024</c:v>
                </c:pt>
                <c:pt idx="61">
                  <c:v>02-05-2024</c:v>
                </c:pt>
                <c:pt idx="62">
                  <c:v>03-05-2024</c:v>
                </c:pt>
                <c:pt idx="63">
                  <c:v>06-05-2024</c:v>
                </c:pt>
                <c:pt idx="64">
                  <c:v>07-05-2024</c:v>
                </c:pt>
                <c:pt idx="65">
                  <c:v>08-05-2024</c:v>
                </c:pt>
                <c:pt idx="66">
                  <c:v>09-05-2024</c:v>
                </c:pt>
                <c:pt idx="67">
                  <c:v>10-05-2024</c:v>
                </c:pt>
                <c:pt idx="68">
                  <c:v>11-05-2024</c:v>
                </c:pt>
                <c:pt idx="69">
                  <c:v>12-05-2024</c:v>
                </c:pt>
                <c:pt idx="70">
                  <c:v>13-05-2024</c:v>
                </c:pt>
                <c:pt idx="71">
                  <c:v>14-05-2024</c:v>
                </c:pt>
                <c:pt idx="72">
                  <c:v>15-05-2024</c:v>
                </c:pt>
                <c:pt idx="73">
                  <c:v>16-05-2024</c:v>
                </c:pt>
                <c:pt idx="74">
                  <c:v>17-05-2024</c:v>
                </c:pt>
                <c:pt idx="75">
                  <c:v>18-05-2024</c:v>
                </c:pt>
                <c:pt idx="76">
                  <c:v>19-05-2024</c:v>
                </c:pt>
                <c:pt idx="77">
                  <c:v>20-05-2024</c:v>
                </c:pt>
                <c:pt idx="78">
                  <c:v>21-05-2024</c:v>
                </c:pt>
                <c:pt idx="79">
                  <c:v>22-05-2024</c:v>
                </c:pt>
                <c:pt idx="80">
                  <c:v>23-05-2024</c:v>
                </c:pt>
                <c:pt idx="81">
                  <c:v>24-05-2024</c:v>
                </c:pt>
                <c:pt idx="82">
                  <c:v>25-05-2024</c:v>
                </c:pt>
                <c:pt idx="83">
                  <c:v>26-05-2024</c:v>
                </c:pt>
                <c:pt idx="84">
                  <c:v>27-05-2024</c:v>
                </c:pt>
                <c:pt idx="85">
                  <c:v>28-05-2024</c:v>
                </c:pt>
                <c:pt idx="86">
                  <c:v>29-05-2024</c:v>
                </c:pt>
                <c:pt idx="87">
                  <c:v>30-05-2024</c:v>
                </c:pt>
                <c:pt idx="88">
                  <c:v>31-05-2024</c:v>
                </c:pt>
                <c:pt idx="89">
                  <c:v>01-06-2024</c:v>
                </c:pt>
                <c:pt idx="90">
                  <c:v>02-06-2024</c:v>
                </c:pt>
                <c:pt idx="91">
                  <c:v>03-06-2024</c:v>
                </c:pt>
                <c:pt idx="92">
                  <c:v>04-06-2024</c:v>
                </c:pt>
                <c:pt idx="93">
                  <c:v>05-06-2024</c:v>
                </c:pt>
                <c:pt idx="94">
                  <c:v>06-06-2024</c:v>
                </c:pt>
                <c:pt idx="95">
                  <c:v>07-06-2024</c:v>
                </c:pt>
                <c:pt idx="96">
                  <c:v>08-06-2024</c:v>
                </c:pt>
                <c:pt idx="97">
                  <c:v>09-06-2024</c:v>
                </c:pt>
                <c:pt idx="98">
                  <c:v>10-06-2024</c:v>
                </c:pt>
                <c:pt idx="99">
                  <c:v>11-06-2024</c:v>
                </c:pt>
                <c:pt idx="100">
                  <c:v>12-06-2024</c:v>
                </c:pt>
                <c:pt idx="101">
                  <c:v>13-06-2024</c:v>
                </c:pt>
                <c:pt idx="102">
                  <c:v>14-06-2024</c:v>
                </c:pt>
                <c:pt idx="103">
                  <c:v>15-06-2024</c:v>
                </c:pt>
                <c:pt idx="104">
                  <c:v>16-06-2024</c:v>
                </c:pt>
                <c:pt idx="105">
                  <c:v>17-06-2024</c:v>
                </c:pt>
                <c:pt idx="106">
                  <c:v>18-06-2024</c:v>
                </c:pt>
                <c:pt idx="107">
                  <c:v>19-06-2024</c:v>
                </c:pt>
                <c:pt idx="108">
                  <c:v>20-06-2024</c:v>
                </c:pt>
                <c:pt idx="109">
                  <c:v>21-06-2024</c:v>
                </c:pt>
                <c:pt idx="110">
                  <c:v>22-06-2024</c:v>
                </c:pt>
                <c:pt idx="111">
                  <c:v>23-06-2024</c:v>
                </c:pt>
                <c:pt idx="112">
                  <c:v>24-06-2024</c:v>
                </c:pt>
                <c:pt idx="113">
                  <c:v>25-06-2024</c:v>
                </c:pt>
                <c:pt idx="114">
                  <c:v>26-06-2024</c:v>
                </c:pt>
                <c:pt idx="115">
                  <c:v>27-06-2024</c:v>
                </c:pt>
                <c:pt idx="116">
                  <c:v>28-06-2024</c:v>
                </c:pt>
                <c:pt idx="117">
                  <c:v>29-06-2024</c:v>
                </c:pt>
                <c:pt idx="118">
                  <c:v>30-06-2024</c:v>
                </c:pt>
                <c:pt idx="119">
                  <c:v>01-07-2024</c:v>
                </c:pt>
                <c:pt idx="120">
                  <c:v>02-07-2024</c:v>
                </c:pt>
                <c:pt idx="121">
                  <c:v>03-07-2024</c:v>
                </c:pt>
                <c:pt idx="122">
                  <c:v>04-07-2024</c:v>
                </c:pt>
                <c:pt idx="123">
                  <c:v>05-07-2024</c:v>
                </c:pt>
                <c:pt idx="124">
                  <c:v>06-07-2024</c:v>
                </c:pt>
                <c:pt idx="125">
                  <c:v>07-07-2024</c:v>
                </c:pt>
                <c:pt idx="126">
                  <c:v>08-07-2024</c:v>
                </c:pt>
                <c:pt idx="127">
                  <c:v>09-07-2024</c:v>
                </c:pt>
                <c:pt idx="128">
                  <c:v>10-07-2024</c:v>
                </c:pt>
                <c:pt idx="129">
                  <c:v>11-07-2024</c:v>
                </c:pt>
                <c:pt idx="130">
                  <c:v>12-07-2024</c:v>
                </c:pt>
                <c:pt idx="131">
                  <c:v>13-07-2024</c:v>
                </c:pt>
                <c:pt idx="132">
                  <c:v>14-07-2024</c:v>
                </c:pt>
                <c:pt idx="133">
                  <c:v>15-07-2024</c:v>
                </c:pt>
                <c:pt idx="134">
                  <c:v>16-07-2024</c:v>
                </c:pt>
                <c:pt idx="135">
                  <c:v>17-07-2024</c:v>
                </c:pt>
                <c:pt idx="136">
                  <c:v>18-07-2024</c:v>
                </c:pt>
                <c:pt idx="137">
                  <c:v>19-07-2024</c:v>
                </c:pt>
                <c:pt idx="138">
                  <c:v>20-07-2024</c:v>
                </c:pt>
                <c:pt idx="139">
                  <c:v>21-07-2024</c:v>
                </c:pt>
                <c:pt idx="140">
                  <c:v>22-07-2024</c:v>
                </c:pt>
                <c:pt idx="141">
                  <c:v>23-07-2024</c:v>
                </c:pt>
                <c:pt idx="142">
                  <c:v>24-07-2024</c:v>
                </c:pt>
                <c:pt idx="143">
                  <c:v>25-07-2024</c:v>
                </c:pt>
                <c:pt idx="144">
                  <c:v>26-07-2024</c:v>
                </c:pt>
                <c:pt idx="145">
                  <c:v>27-07-2024</c:v>
                </c:pt>
                <c:pt idx="146">
                  <c:v>28-07-2024</c:v>
                </c:pt>
                <c:pt idx="147">
                  <c:v>29-07-2024</c:v>
                </c:pt>
                <c:pt idx="148">
                  <c:v>30-07-2024</c:v>
                </c:pt>
                <c:pt idx="149">
                  <c:v>31-07-2024</c:v>
                </c:pt>
              </c:strCache>
            </c:strRef>
          </c:cat>
          <c:val>
            <c:numRef>
              <c:f>'DAILY SALES TREND'!$B$4:$B$154</c:f>
              <c:numCache>
                <c:formatCode>General</c:formatCode>
                <c:ptCount val="150"/>
                <c:pt idx="0">
                  <c:v>396.3</c:v>
                </c:pt>
                <c:pt idx="1">
                  <c:v>228.1</c:v>
                </c:pt>
                <c:pt idx="2">
                  <c:v>349.09999999999997</c:v>
                </c:pt>
                <c:pt idx="3">
                  <c:v>135.19999999999999</c:v>
                </c:pt>
                <c:pt idx="4">
                  <c:v>338.49999999999994</c:v>
                </c:pt>
                <c:pt idx="5">
                  <c:v>170.2</c:v>
                </c:pt>
                <c:pt idx="6">
                  <c:v>220.10000000000002</c:v>
                </c:pt>
                <c:pt idx="7">
                  <c:v>265.5</c:v>
                </c:pt>
                <c:pt idx="8">
                  <c:v>479.4</c:v>
                </c:pt>
                <c:pt idx="9">
                  <c:v>231.6</c:v>
                </c:pt>
                <c:pt idx="10">
                  <c:v>275.2</c:v>
                </c:pt>
                <c:pt idx="11">
                  <c:v>228.10000000000002</c:v>
                </c:pt>
                <c:pt idx="12">
                  <c:v>256.2</c:v>
                </c:pt>
                <c:pt idx="13">
                  <c:v>397.09999999999997</c:v>
                </c:pt>
                <c:pt idx="14">
                  <c:v>107.6</c:v>
                </c:pt>
                <c:pt idx="15">
                  <c:v>183.2</c:v>
                </c:pt>
                <c:pt idx="16">
                  <c:v>68.900000000000006</c:v>
                </c:pt>
                <c:pt idx="17">
                  <c:v>115.6</c:v>
                </c:pt>
                <c:pt idx="18">
                  <c:v>219.90000000000003</c:v>
                </c:pt>
                <c:pt idx="19">
                  <c:v>213.89999999999998</c:v>
                </c:pt>
                <c:pt idx="20">
                  <c:v>205.20000000000005</c:v>
                </c:pt>
                <c:pt idx="21">
                  <c:v>189.4</c:v>
                </c:pt>
                <c:pt idx="22">
                  <c:v>285.09999999999997</c:v>
                </c:pt>
                <c:pt idx="23">
                  <c:v>78.7</c:v>
                </c:pt>
                <c:pt idx="24">
                  <c:v>223.60000000000002</c:v>
                </c:pt>
                <c:pt idx="25">
                  <c:v>376.7</c:v>
                </c:pt>
                <c:pt idx="26">
                  <c:v>271.7</c:v>
                </c:pt>
                <c:pt idx="27">
                  <c:v>125.39999999999999</c:v>
                </c:pt>
                <c:pt idx="28">
                  <c:v>156.10000000000002</c:v>
                </c:pt>
                <c:pt idx="29">
                  <c:v>189.90000000000003</c:v>
                </c:pt>
                <c:pt idx="30">
                  <c:v>68.7</c:v>
                </c:pt>
                <c:pt idx="31">
                  <c:v>242.8</c:v>
                </c:pt>
                <c:pt idx="32">
                  <c:v>136.5</c:v>
                </c:pt>
                <c:pt idx="33">
                  <c:v>126.5</c:v>
                </c:pt>
                <c:pt idx="34">
                  <c:v>185</c:v>
                </c:pt>
                <c:pt idx="35">
                  <c:v>362.1</c:v>
                </c:pt>
                <c:pt idx="36">
                  <c:v>140.10000000000002</c:v>
                </c:pt>
                <c:pt idx="37">
                  <c:v>241.5</c:v>
                </c:pt>
                <c:pt idx="38">
                  <c:v>340.2</c:v>
                </c:pt>
                <c:pt idx="39">
                  <c:v>186.10000000000002</c:v>
                </c:pt>
                <c:pt idx="40">
                  <c:v>166.4</c:v>
                </c:pt>
                <c:pt idx="41">
                  <c:v>169</c:v>
                </c:pt>
                <c:pt idx="42">
                  <c:v>67.599999999999994</c:v>
                </c:pt>
                <c:pt idx="43">
                  <c:v>302.39999999999998</c:v>
                </c:pt>
                <c:pt idx="44">
                  <c:v>434.2999999999999</c:v>
                </c:pt>
                <c:pt idx="45">
                  <c:v>150.39999999999998</c:v>
                </c:pt>
                <c:pt idx="46">
                  <c:v>276.5</c:v>
                </c:pt>
                <c:pt idx="47">
                  <c:v>199.20000000000002</c:v>
                </c:pt>
                <c:pt idx="48">
                  <c:v>352.69999999999993</c:v>
                </c:pt>
                <c:pt idx="49">
                  <c:v>261.10000000000002</c:v>
                </c:pt>
                <c:pt idx="50">
                  <c:v>494.30000000000007</c:v>
                </c:pt>
                <c:pt idx="51">
                  <c:v>104.64</c:v>
                </c:pt>
                <c:pt idx="52">
                  <c:v>176.46</c:v>
                </c:pt>
                <c:pt idx="53">
                  <c:v>173.89999999999998</c:v>
                </c:pt>
                <c:pt idx="54">
                  <c:v>272.35999999999996</c:v>
                </c:pt>
                <c:pt idx="55">
                  <c:v>121.48</c:v>
                </c:pt>
                <c:pt idx="56">
                  <c:v>300.28000000000009</c:v>
                </c:pt>
                <c:pt idx="57">
                  <c:v>37.72</c:v>
                </c:pt>
                <c:pt idx="58">
                  <c:v>169</c:v>
                </c:pt>
                <c:pt idx="59">
                  <c:v>257.65999999999997</c:v>
                </c:pt>
                <c:pt idx="60">
                  <c:v>272.35999999999996</c:v>
                </c:pt>
                <c:pt idx="61">
                  <c:v>245.72</c:v>
                </c:pt>
                <c:pt idx="62">
                  <c:v>114.44</c:v>
                </c:pt>
                <c:pt idx="63">
                  <c:v>314.58000000000004</c:v>
                </c:pt>
                <c:pt idx="64">
                  <c:v>344.08000000000004</c:v>
                </c:pt>
                <c:pt idx="65">
                  <c:v>37.72</c:v>
                </c:pt>
                <c:pt idx="66">
                  <c:v>295.38</c:v>
                </c:pt>
                <c:pt idx="67">
                  <c:v>148.44</c:v>
                </c:pt>
                <c:pt idx="68">
                  <c:v>293.24</c:v>
                </c:pt>
                <c:pt idx="69">
                  <c:v>272.35999999999996</c:v>
                </c:pt>
                <c:pt idx="70">
                  <c:v>90.82</c:v>
                </c:pt>
                <c:pt idx="71">
                  <c:v>403.64</c:v>
                </c:pt>
                <c:pt idx="72">
                  <c:v>350.82000000000005</c:v>
                </c:pt>
                <c:pt idx="73">
                  <c:v>327.34000000000003</c:v>
                </c:pt>
                <c:pt idx="74">
                  <c:v>306.36</c:v>
                </c:pt>
                <c:pt idx="75">
                  <c:v>283.43999999999994</c:v>
                </c:pt>
                <c:pt idx="76">
                  <c:v>417.84000000000003</c:v>
                </c:pt>
                <c:pt idx="77">
                  <c:v>559.0200000000001</c:v>
                </c:pt>
                <c:pt idx="78">
                  <c:v>314.89999999999998</c:v>
                </c:pt>
                <c:pt idx="79">
                  <c:v>370.82000000000005</c:v>
                </c:pt>
                <c:pt idx="80">
                  <c:v>575.4000000000002</c:v>
                </c:pt>
                <c:pt idx="81">
                  <c:v>210.14</c:v>
                </c:pt>
                <c:pt idx="82">
                  <c:v>254.91999999999996</c:v>
                </c:pt>
                <c:pt idx="83">
                  <c:v>526.60000000000014</c:v>
                </c:pt>
                <c:pt idx="84">
                  <c:v>365.91999999999996</c:v>
                </c:pt>
                <c:pt idx="85">
                  <c:v>372.1</c:v>
                </c:pt>
                <c:pt idx="86">
                  <c:v>396.6</c:v>
                </c:pt>
                <c:pt idx="87">
                  <c:v>370.82</c:v>
                </c:pt>
                <c:pt idx="88">
                  <c:v>499.96000000000004</c:v>
                </c:pt>
                <c:pt idx="89">
                  <c:v>386.8</c:v>
                </c:pt>
                <c:pt idx="90">
                  <c:v>212.79999999999998</c:v>
                </c:pt>
                <c:pt idx="91">
                  <c:v>251.7</c:v>
                </c:pt>
                <c:pt idx="92">
                  <c:v>474.18</c:v>
                </c:pt>
                <c:pt idx="93">
                  <c:v>310.08</c:v>
                </c:pt>
                <c:pt idx="94">
                  <c:v>385.52</c:v>
                </c:pt>
                <c:pt idx="95">
                  <c:v>149.4</c:v>
                </c:pt>
                <c:pt idx="96">
                  <c:v>136.18</c:v>
                </c:pt>
                <c:pt idx="97">
                  <c:v>436.46000000000004</c:v>
                </c:pt>
                <c:pt idx="98">
                  <c:v>226.32</c:v>
                </c:pt>
                <c:pt idx="99">
                  <c:v>211.61999999999998</c:v>
                </c:pt>
                <c:pt idx="100">
                  <c:v>221.42</c:v>
                </c:pt>
                <c:pt idx="101">
                  <c:v>379.14</c:v>
                </c:pt>
                <c:pt idx="102">
                  <c:v>126.38</c:v>
                </c:pt>
                <c:pt idx="103">
                  <c:v>262.56</c:v>
                </c:pt>
                <c:pt idx="104">
                  <c:v>408.53999999999996</c:v>
                </c:pt>
                <c:pt idx="105">
                  <c:v>323.3</c:v>
                </c:pt>
                <c:pt idx="106">
                  <c:v>234.64</c:v>
                </c:pt>
                <c:pt idx="107">
                  <c:v>380.61999999999995</c:v>
                </c:pt>
                <c:pt idx="108">
                  <c:v>221.42</c:v>
                </c:pt>
                <c:pt idx="109">
                  <c:v>403.6400000000001</c:v>
                </c:pt>
                <c:pt idx="110">
                  <c:v>169</c:v>
                </c:pt>
                <c:pt idx="111">
                  <c:v>178.79999999999998</c:v>
                </c:pt>
                <c:pt idx="112">
                  <c:v>221.42</c:v>
                </c:pt>
                <c:pt idx="113">
                  <c:v>141.07999999999998</c:v>
                </c:pt>
                <c:pt idx="114">
                  <c:v>196.92</c:v>
                </c:pt>
                <c:pt idx="115">
                  <c:v>131.28</c:v>
                </c:pt>
                <c:pt idx="116">
                  <c:v>159.19999999999999</c:v>
                </c:pt>
                <c:pt idx="117">
                  <c:v>287.06</c:v>
                </c:pt>
                <c:pt idx="118">
                  <c:v>131.28</c:v>
                </c:pt>
                <c:pt idx="119">
                  <c:v>98.46</c:v>
                </c:pt>
                <c:pt idx="120">
                  <c:v>192.02</c:v>
                </c:pt>
                <c:pt idx="121">
                  <c:v>310.08000000000004</c:v>
                </c:pt>
                <c:pt idx="122">
                  <c:v>60.74</c:v>
                </c:pt>
                <c:pt idx="123">
                  <c:v>303.7</c:v>
                </c:pt>
                <c:pt idx="124">
                  <c:v>164.09999999999997</c:v>
                </c:pt>
                <c:pt idx="125">
                  <c:v>346.32</c:v>
                </c:pt>
                <c:pt idx="126">
                  <c:v>139.6</c:v>
                </c:pt>
                <c:pt idx="127">
                  <c:v>144.5</c:v>
                </c:pt>
                <c:pt idx="128">
                  <c:v>83.759999999999991</c:v>
                </c:pt>
                <c:pt idx="129">
                  <c:v>116.58</c:v>
                </c:pt>
                <c:pt idx="130">
                  <c:v>154.29999999999998</c:v>
                </c:pt>
                <c:pt idx="131">
                  <c:v>65.64</c:v>
                </c:pt>
                <c:pt idx="132">
                  <c:v>172.42</c:v>
                </c:pt>
                <c:pt idx="133">
                  <c:v>32.82</c:v>
                </c:pt>
                <c:pt idx="134">
                  <c:v>60.74</c:v>
                </c:pt>
                <c:pt idx="135">
                  <c:v>27.92</c:v>
                </c:pt>
                <c:pt idx="136">
                  <c:v>312.02</c:v>
                </c:pt>
                <c:pt idx="137">
                  <c:v>242.95999999999998</c:v>
                </c:pt>
                <c:pt idx="138">
                  <c:v>200.34</c:v>
                </c:pt>
                <c:pt idx="139">
                  <c:v>121.47999999999999</c:v>
                </c:pt>
                <c:pt idx="140">
                  <c:v>106.78</c:v>
                </c:pt>
                <c:pt idx="141">
                  <c:v>339.94</c:v>
                </c:pt>
                <c:pt idx="142">
                  <c:v>330.14</c:v>
                </c:pt>
                <c:pt idx="143">
                  <c:v>269.40000000000003</c:v>
                </c:pt>
                <c:pt idx="144">
                  <c:v>461.41999999999996</c:v>
                </c:pt>
                <c:pt idx="145">
                  <c:v>372.76</c:v>
                </c:pt>
                <c:pt idx="146">
                  <c:v>78.860000000000014</c:v>
                </c:pt>
                <c:pt idx="147">
                  <c:v>321.81999999999994</c:v>
                </c:pt>
                <c:pt idx="148">
                  <c:v>650.48000000000013</c:v>
                </c:pt>
                <c:pt idx="149">
                  <c:v>633.84</c:v>
                </c:pt>
              </c:numCache>
            </c:numRef>
          </c:val>
          <c:smooth val="0"/>
        </c:ser>
        <c:dLbls>
          <c:showLegendKey val="0"/>
          <c:showVal val="0"/>
          <c:showCatName val="0"/>
          <c:showSerName val="0"/>
          <c:showPercent val="0"/>
          <c:showBubbleSize val="0"/>
        </c:dLbls>
        <c:smooth val="0"/>
        <c:axId val="277400872"/>
        <c:axId val="277404792"/>
      </c:lineChart>
      <c:catAx>
        <c:axId val="277400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404792"/>
        <c:crosses val="autoZero"/>
        <c:auto val="1"/>
        <c:lblAlgn val="ctr"/>
        <c:lblOffset val="100"/>
        <c:noMultiLvlLbl val="0"/>
      </c:catAx>
      <c:valAx>
        <c:axId val="2774047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4008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 BACKUP.XLSX]CASH VS CARD!PivotTable7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'CASH VS CARD'!$B$3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'CASH VS CARD'!$A$4:$A$6</c:f>
              <c:strCache>
                <c:ptCount val="2"/>
                <c:pt idx="0">
                  <c:v>card</c:v>
                </c:pt>
                <c:pt idx="1">
                  <c:v>cash</c:v>
                </c:pt>
              </c:strCache>
            </c:strRef>
          </c:cat>
          <c:val>
            <c:numRef>
              <c:f>'CASH VS CARD'!$B$4:$B$6</c:f>
              <c:numCache>
                <c:formatCode>General</c:formatCode>
                <c:ptCount val="2"/>
                <c:pt idx="0">
                  <c:v>34322.879999999845</c:v>
                </c:pt>
                <c:pt idx="1">
                  <c:v>3186</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 BACKUP.XLSX]CASH VS CARD!PivotTable7</c:name>
    <c:fmtId val="2"/>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'CASH VS CARD'!$B$3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'CASH VS CARD'!$A$4:$A$6</c:f>
              <c:strCache>
                <c:ptCount val="2"/>
                <c:pt idx="0">
                  <c:v>card</c:v>
                </c:pt>
                <c:pt idx="1">
                  <c:v>cash</c:v>
                </c:pt>
              </c:strCache>
            </c:strRef>
          </c:cat>
          <c:val>
            <c:numRef>
              <c:f>'CASH VS CARD'!$B$4:$B$6</c:f>
              <c:numCache>
                <c:formatCode>General</c:formatCode>
                <c:ptCount val="2"/>
                <c:pt idx="0">
                  <c:v>34322.879999999845</c:v>
                </c:pt>
                <c:pt idx="1">
                  <c:v>3186</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 BACKUP.XLSX]COFFEE WISE SALES!PivotTable8</c:name>
    <c:fmtId val="0"/>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'COFFEE WISE SALES'!$B$3</c:f>
              <c:strCache>
                <c:ptCount val="1"/>
                <c:pt idx="0">
                  <c:v>Total</c:v>
                </c:pt>
              </c:strCache>
            </c:strRef>
          </c:tx>
          <c:spPr>
            <a:solidFill>
              <a:schemeClr val="accent1"/>
            </a:solidFill>
            <a:ln>
              <a:noFill/>
            </a:ln>
            <a:effectLst/>
          </c:spPr>
          <c:invertIfNegative val="0"/>
          <c:cat>
            <c:strRef>
              <c:f>'COFFEE WISE SALES'!$A$4:$A$12</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'COFFEE WISE SALES'!$B$4:$B$12</c:f>
              <c:numCache>
                <c:formatCode>General</c:formatCode>
                <c:ptCount val="8"/>
                <c:pt idx="0">
                  <c:v>4644.5400000000163</c:v>
                </c:pt>
                <c:pt idx="1">
                  <c:v>8601.939999999986</c:v>
                </c:pt>
                <c:pt idx="2">
                  <c:v>7333.1399999999994</c:v>
                </c:pt>
                <c:pt idx="3">
                  <c:v>1295.9399999999998</c:v>
                </c:pt>
                <c:pt idx="4">
                  <c:v>2745.0800000000027</c:v>
                </c:pt>
                <c:pt idx="5">
                  <c:v>1100.6199999999992</c:v>
                </c:pt>
                <c:pt idx="6">
                  <c:v>2778.4800000000009</c:v>
                </c:pt>
                <c:pt idx="7">
                  <c:v>9009.1399999999976</c:v>
                </c:pt>
              </c:numCache>
            </c:numRef>
          </c:val>
        </c:ser>
        <c:dLbls>
          <c:showLegendKey val="0"/>
          <c:showVal val="0"/>
          <c:showCatName val="0"/>
          <c:showSerName val="0"/>
          <c:showPercent val="0"/>
          <c:showBubbleSize val="0"/>
        </c:dLbls>
        <c:gapWidth val="182"/>
        <c:axId val="277401656"/>
        <c:axId val="277402048"/>
      </c:barChart>
      <c:catAx>
        <c:axId val="277401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402048"/>
        <c:crosses val="autoZero"/>
        <c:auto val="1"/>
        <c:lblAlgn val="ctr"/>
        <c:lblOffset val="100"/>
        <c:noMultiLvlLbl val="0"/>
      </c:catAx>
      <c:valAx>
        <c:axId val="277402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4016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 BACKUP.XLSX]Sheet3!PivotTable10</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5400">
            <a:noFill/>
          </a:ln>
          <a:effectLst/>
        </c:spPr>
        <c:marker>
          <c:symbol val="none"/>
        </c:marker>
      </c:pivotFmt>
      <c:pivotFmt>
        <c:idx val="2"/>
        <c:spPr>
          <a:solidFill>
            <a:schemeClr val="accent1"/>
          </a:solidFill>
          <a:ln w="25400">
            <a:noFill/>
          </a:ln>
          <a:effectLst/>
        </c:spPr>
        <c:marker>
          <c:symbol val="none"/>
        </c:marker>
      </c:pivotFmt>
    </c:pivotFmts>
    <c:plotArea>
      <c:layout/>
      <c:areaChart>
        <c:grouping val="standard"/>
        <c:varyColors val="0"/>
        <c:ser>
          <c:idx val="0"/>
          <c:order val="0"/>
          <c:tx>
            <c:strRef>
              <c:f>Sheet3!$B$3</c:f>
              <c:strCache>
                <c:ptCount val="1"/>
                <c:pt idx="0">
                  <c:v>Total</c:v>
                </c:pt>
              </c:strCache>
            </c:strRef>
          </c:tx>
          <c:spPr>
            <a:solidFill>
              <a:schemeClr val="accent1"/>
            </a:solidFill>
            <a:ln>
              <a:noFill/>
            </a:ln>
            <a:effectLst/>
          </c:spPr>
          <c:cat>
            <c:strRef>
              <c:f>Sheet3!$A$4:$A$9</c:f>
              <c:strCache>
                <c:ptCount val="5"/>
                <c:pt idx="0">
                  <c:v>3</c:v>
                </c:pt>
                <c:pt idx="1">
                  <c:v>4</c:v>
                </c:pt>
                <c:pt idx="2">
                  <c:v>5</c:v>
                </c:pt>
                <c:pt idx="3">
                  <c:v>6</c:v>
                </c:pt>
                <c:pt idx="4">
                  <c:v>7</c:v>
                </c:pt>
              </c:strCache>
            </c:strRef>
          </c:cat>
          <c:val>
            <c:numRef>
              <c:f>Sheet3!$B$4:$B$9</c:f>
              <c:numCache>
                <c:formatCode>General</c:formatCode>
                <c:ptCount val="5"/>
                <c:pt idx="0">
                  <c:v>7050.1999999999871</c:v>
                </c:pt>
                <c:pt idx="1">
                  <c:v>6720.5600000000013</c:v>
                </c:pt>
                <c:pt idx="2">
                  <c:v>9063.4200000000019</c:v>
                </c:pt>
                <c:pt idx="3">
                  <c:v>7758.7600000000048</c:v>
                </c:pt>
                <c:pt idx="4">
                  <c:v>6915.940000000006</c:v>
                </c:pt>
              </c:numCache>
            </c:numRef>
          </c:val>
        </c:ser>
        <c:dLbls>
          <c:showLegendKey val="0"/>
          <c:showVal val="0"/>
          <c:showCatName val="0"/>
          <c:showSerName val="0"/>
          <c:showPercent val="0"/>
          <c:showBubbleSize val="0"/>
        </c:dLbls>
        <c:axId val="278901904"/>
        <c:axId val="278902296"/>
      </c:areaChart>
      <c:catAx>
        <c:axId val="2789019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902296"/>
        <c:crosses val="autoZero"/>
        <c:auto val="1"/>
        <c:lblAlgn val="ctr"/>
        <c:lblOffset val="100"/>
        <c:noMultiLvlLbl val="0"/>
      </c:catAx>
      <c:valAx>
        <c:axId val="278902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90190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12306329274919932"/>
          <c:y val="3.9141869314528455E-2"/>
          <c:w val="0.82587229913796323"/>
          <c:h val="0.89912015422850899"/>
        </c:manualLayout>
      </c:layout>
      <c:barChart>
        <c:barDir val="col"/>
        <c:grouping val="clustered"/>
        <c:varyColors val="0"/>
        <c:ser>
          <c:idx val="0"/>
          <c:order val="0"/>
          <c:spPr>
            <a:solidFill>
              <a:schemeClr val="accent1"/>
            </a:solidFill>
            <a:ln>
              <a:noFill/>
            </a:ln>
            <a:effectLst/>
          </c:spPr>
          <c:invertIfNegative val="0"/>
          <c:cat>
            <c:numRef>
              <c:f>'HOUR VS SALES 2'!$D$4:$D$19</c:f>
              <c:numCache>
                <c:formatCode>0</c:formatCode>
                <c:ptCount val="16"/>
                <c:pt idx="0">
                  <c:v>7</c:v>
                </c:pt>
                <c:pt idx="1">
                  <c:v>8</c:v>
                </c:pt>
                <c:pt idx="2">
                  <c:v>9</c:v>
                </c:pt>
                <c:pt idx="3">
                  <c:v>10</c:v>
                </c:pt>
                <c:pt idx="4">
                  <c:v>11</c:v>
                </c:pt>
                <c:pt idx="5">
                  <c:v>12</c:v>
                </c:pt>
                <c:pt idx="6">
                  <c:v>13</c:v>
                </c:pt>
                <c:pt idx="7">
                  <c:v>14</c:v>
                </c:pt>
                <c:pt idx="8">
                  <c:v>15</c:v>
                </c:pt>
                <c:pt idx="9">
                  <c:v>16</c:v>
                </c:pt>
                <c:pt idx="10">
                  <c:v>17</c:v>
                </c:pt>
                <c:pt idx="11">
                  <c:v>18</c:v>
                </c:pt>
                <c:pt idx="12">
                  <c:v>19</c:v>
                </c:pt>
                <c:pt idx="13">
                  <c:v>20</c:v>
                </c:pt>
                <c:pt idx="14">
                  <c:v>21</c:v>
                </c:pt>
                <c:pt idx="15">
                  <c:v>22</c:v>
                </c:pt>
              </c:numCache>
            </c:numRef>
          </c:cat>
          <c:val>
            <c:numRef>
              <c:f>'HOUR VS SALES 2'!$E$4:$E$19</c:f>
              <c:numCache>
                <c:formatCode>General</c:formatCode>
                <c:ptCount val="16"/>
                <c:pt idx="0">
                  <c:v>392.8</c:v>
                </c:pt>
                <c:pt idx="1">
                  <c:v>1380.3799999999999</c:v>
                </c:pt>
                <c:pt idx="2">
                  <c:v>1515.4800000000005</c:v>
                </c:pt>
                <c:pt idx="3">
                  <c:v>4553.1799999999985</c:v>
                </c:pt>
                <c:pt idx="4">
                  <c:v>3258.64</c:v>
                </c:pt>
                <c:pt idx="5">
                  <c:v>2850.6</c:v>
                </c:pt>
                <c:pt idx="6">
                  <c:v>2511.6000000000031</c:v>
                </c:pt>
                <c:pt idx="7">
                  <c:v>2484.920000000001</c:v>
                </c:pt>
                <c:pt idx="8">
                  <c:v>2158.7600000000007</c:v>
                </c:pt>
                <c:pt idx="9">
                  <c:v>2525.3600000000015</c:v>
                </c:pt>
                <c:pt idx="10">
                  <c:v>2639.0800000000013</c:v>
                </c:pt>
                <c:pt idx="11">
                  <c:v>2558.0400000000004</c:v>
                </c:pt>
                <c:pt idx="12">
                  <c:v>3388.3199999999988</c:v>
                </c:pt>
                <c:pt idx="13">
                  <c:v>1819.9200000000003</c:v>
                </c:pt>
                <c:pt idx="14">
                  <c:v>2343.86</c:v>
                </c:pt>
                <c:pt idx="15">
                  <c:v>1127.9400000000003</c:v>
                </c:pt>
              </c:numCache>
            </c:numRef>
          </c:val>
        </c:ser>
        <c:dLbls>
          <c:showLegendKey val="0"/>
          <c:showVal val="0"/>
          <c:showCatName val="0"/>
          <c:showSerName val="0"/>
          <c:showPercent val="0"/>
          <c:showBubbleSize val="0"/>
        </c:dLbls>
        <c:gapWidth val="219"/>
        <c:overlap val="-27"/>
        <c:axId val="278899160"/>
        <c:axId val="278897200"/>
      </c:barChart>
      <c:catAx>
        <c:axId val="278899160"/>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897200"/>
        <c:crosses val="autoZero"/>
        <c:auto val="1"/>
        <c:lblAlgn val="ctr"/>
        <c:lblOffset val="100"/>
        <c:noMultiLvlLbl val="0"/>
      </c:catAx>
      <c:valAx>
        <c:axId val="278897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899160"/>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 BACKUP.XLSX]DAILY SALES TREND!PivotTable6</c:name>
    <c:fmtId val="7"/>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'DAILY SALES TREND'!$B$3</c:f>
              <c:strCache>
                <c:ptCount val="1"/>
                <c:pt idx="0">
                  <c:v>Total</c:v>
                </c:pt>
              </c:strCache>
            </c:strRef>
          </c:tx>
          <c:spPr>
            <a:ln w="28575" cap="rnd">
              <a:solidFill>
                <a:schemeClr val="accent1"/>
              </a:solidFill>
              <a:round/>
            </a:ln>
            <a:effectLst/>
          </c:spPr>
          <c:marker>
            <c:symbol val="none"/>
          </c:marker>
          <c:cat>
            <c:strRef>
              <c:f>'DAILY SALES TREND'!$A$4:$A$154</c:f>
              <c:strCache>
                <c:ptCount val="150"/>
                <c:pt idx="0">
                  <c:v>01-03-2024</c:v>
                </c:pt>
                <c:pt idx="1">
                  <c:v>02-03-2024</c:v>
                </c:pt>
                <c:pt idx="2">
                  <c:v>03-03-2024</c:v>
                </c:pt>
                <c:pt idx="3">
                  <c:v>04-03-2024</c:v>
                </c:pt>
                <c:pt idx="4">
                  <c:v>05-03-2024</c:v>
                </c:pt>
                <c:pt idx="5">
                  <c:v>06-03-2024</c:v>
                </c:pt>
                <c:pt idx="6">
                  <c:v>07-03-2024</c:v>
                </c:pt>
                <c:pt idx="7">
                  <c:v>08-03-2024</c:v>
                </c:pt>
                <c:pt idx="8">
                  <c:v>09-03-2024</c:v>
                </c:pt>
                <c:pt idx="9">
                  <c:v>10-03-2024</c:v>
                </c:pt>
                <c:pt idx="10">
                  <c:v>11-03-2024</c:v>
                </c:pt>
                <c:pt idx="11">
                  <c:v>12-03-2024</c:v>
                </c:pt>
                <c:pt idx="12">
                  <c:v>13-03-2024</c:v>
                </c:pt>
                <c:pt idx="13">
                  <c:v>14-03-2024</c:v>
                </c:pt>
                <c:pt idx="14">
                  <c:v>15-03-2024</c:v>
                </c:pt>
                <c:pt idx="15">
                  <c:v>16-03-2024</c:v>
                </c:pt>
                <c:pt idx="16">
                  <c:v>17-03-2024</c:v>
                </c:pt>
                <c:pt idx="17">
                  <c:v>18-03-2024</c:v>
                </c:pt>
                <c:pt idx="18">
                  <c:v>19-03-2024</c:v>
                </c:pt>
                <c:pt idx="19">
                  <c:v>20-03-2024</c:v>
                </c:pt>
                <c:pt idx="20">
                  <c:v>21-03-2024</c:v>
                </c:pt>
                <c:pt idx="21">
                  <c:v>22-03-2024</c:v>
                </c:pt>
                <c:pt idx="22">
                  <c:v>23-03-2024</c:v>
                </c:pt>
                <c:pt idx="23">
                  <c:v>24-03-2024</c:v>
                </c:pt>
                <c:pt idx="24">
                  <c:v>25-03-2024</c:v>
                </c:pt>
                <c:pt idx="25">
                  <c:v>26-03-2024</c:v>
                </c:pt>
                <c:pt idx="26">
                  <c:v>27-03-2024</c:v>
                </c:pt>
                <c:pt idx="27">
                  <c:v>28-03-2024</c:v>
                </c:pt>
                <c:pt idx="28">
                  <c:v>29-03-2024</c:v>
                </c:pt>
                <c:pt idx="29">
                  <c:v>30-03-2024</c:v>
                </c:pt>
                <c:pt idx="30">
                  <c:v>31-03-2024</c:v>
                </c:pt>
                <c:pt idx="31">
                  <c:v>01-04-2024</c:v>
                </c:pt>
                <c:pt idx="32">
                  <c:v>02-04-2024</c:v>
                </c:pt>
                <c:pt idx="33">
                  <c:v>03-04-2024</c:v>
                </c:pt>
                <c:pt idx="34">
                  <c:v>04-04-2024</c:v>
                </c:pt>
                <c:pt idx="35">
                  <c:v>05-04-2024</c:v>
                </c:pt>
                <c:pt idx="36">
                  <c:v>06-04-2024</c:v>
                </c:pt>
                <c:pt idx="37">
                  <c:v>07-04-2024</c:v>
                </c:pt>
                <c:pt idx="38">
                  <c:v>08-04-2024</c:v>
                </c:pt>
                <c:pt idx="39">
                  <c:v>09-04-2024</c:v>
                </c:pt>
                <c:pt idx="40">
                  <c:v>10-04-2024</c:v>
                </c:pt>
                <c:pt idx="41">
                  <c:v>11-04-2024</c:v>
                </c:pt>
                <c:pt idx="42">
                  <c:v>12-04-2024</c:v>
                </c:pt>
                <c:pt idx="43">
                  <c:v>13-04-2024</c:v>
                </c:pt>
                <c:pt idx="44">
                  <c:v>14-04-2024</c:v>
                </c:pt>
                <c:pt idx="45">
                  <c:v>15-04-2024</c:v>
                </c:pt>
                <c:pt idx="46">
                  <c:v>16-04-2024</c:v>
                </c:pt>
                <c:pt idx="47">
                  <c:v>17-04-2024</c:v>
                </c:pt>
                <c:pt idx="48">
                  <c:v>18-04-2024</c:v>
                </c:pt>
                <c:pt idx="49">
                  <c:v>19-04-2024</c:v>
                </c:pt>
                <c:pt idx="50">
                  <c:v>20-04-2024</c:v>
                </c:pt>
                <c:pt idx="51">
                  <c:v>21-04-2024</c:v>
                </c:pt>
                <c:pt idx="52">
                  <c:v>22-04-2024</c:v>
                </c:pt>
                <c:pt idx="53">
                  <c:v>23-04-2024</c:v>
                </c:pt>
                <c:pt idx="54">
                  <c:v>24-04-2024</c:v>
                </c:pt>
                <c:pt idx="55">
                  <c:v>25-04-2024</c:v>
                </c:pt>
                <c:pt idx="56">
                  <c:v>26-04-2024</c:v>
                </c:pt>
                <c:pt idx="57">
                  <c:v>27-04-2024</c:v>
                </c:pt>
                <c:pt idx="58">
                  <c:v>28-04-2024</c:v>
                </c:pt>
                <c:pt idx="59">
                  <c:v>29-04-2024</c:v>
                </c:pt>
                <c:pt idx="60">
                  <c:v>30-04-2024</c:v>
                </c:pt>
                <c:pt idx="61">
                  <c:v>02-05-2024</c:v>
                </c:pt>
                <c:pt idx="62">
                  <c:v>03-05-2024</c:v>
                </c:pt>
                <c:pt idx="63">
                  <c:v>06-05-2024</c:v>
                </c:pt>
                <c:pt idx="64">
                  <c:v>07-05-2024</c:v>
                </c:pt>
                <c:pt idx="65">
                  <c:v>08-05-2024</c:v>
                </c:pt>
                <c:pt idx="66">
                  <c:v>09-05-2024</c:v>
                </c:pt>
                <c:pt idx="67">
                  <c:v>10-05-2024</c:v>
                </c:pt>
                <c:pt idx="68">
                  <c:v>11-05-2024</c:v>
                </c:pt>
                <c:pt idx="69">
                  <c:v>12-05-2024</c:v>
                </c:pt>
                <c:pt idx="70">
                  <c:v>13-05-2024</c:v>
                </c:pt>
                <c:pt idx="71">
                  <c:v>14-05-2024</c:v>
                </c:pt>
                <c:pt idx="72">
                  <c:v>15-05-2024</c:v>
                </c:pt>
                <c:pt idx="73">
                  <c:v>16-05-2024</c:v>
                </c:pt>
                <c:pt idx="74">
                  <c:v>17-05-2024</c:v>
                </c:pt>
                <c:pt idx="75">
                  <c:v>18-05-2024</c:v>
                </c:pt>
                <c:pt idx="76">
                  <c:v>19-05-2024</c:v>
                </c:pt>
                <c:pt idx="77">
                  <c:v>20-05-2024</c:v>
                </c:pt>
                <c:pt idx="78">
                  <c:v>21-05-2024</c:v>
                </c:pt>
                <c:pt idx="79">
                  <c:v>22-05-2024</c:v>
                </c:pt>
                <c:pt idx="80">
                  <c:v>23-05-2024</c:v>
                </c:pt>
                <c:pt idx="81">
                  <c:v>24-05-2024</c:v>
                </c:pt>
                <c:pt idx="82">
                  <c:v>25-05-2024</c:v>
                </c:pt>
                <c:pt idx="83">
                  <c:v>26-05-2024</c:v>
                </c:pt>
                <c:pt idx="84">
                  <c:v>27-05-2024</c:v>
                </c:pt>
                <c:pt idx="85">
                  <c:v>28-05-2024</c:v>
                </c:pt>
                <c:pt idx="86">
                  <c:v>29-05-2024</c:v>
                </c:pt>
                <c:pt idx="87">
                  <c:v>30-05-2024</c:v>
                </c:pt>
                <c:pt idx="88">
                  <c:v>31-05-2024</c:v>
                </c:pt>
                <c:pt idx="89">
                  <c:v>01-06-2024</c:v>
                </c:pt>
                <c:pt idx="90">
                  <c:v>02-06-2024</c:v>
                </c:pt>
                <c:pt idx="91">
                  <c:v>03-06-2024</c:v>
                </c:pt>
                <c:pt idx="92">
                  <c:v>04-06-2024</c:v>
                </c:pt>
                <c:pt idx="93">
                  <c:v>05-06-2024</c:v>
                </c:pt>
                <c:pt idx="94">
                  <c:v>06-06-2024</c:v>
                </c:pt>
                <c:pt idx="95">
                  <c:v>07-06-2024</c:v>
                </c:pt>
                <c:pt idx="96">
                  <c:v>08-06-2024</c:v>
                </c:pt>
                <c:pt idx="97">
                  <c:v>09-06-2024</c:v>
                </c:pt>
                <c:pt idx="98">
                  <c:v>10-06-2024</c:v>
                </c:pt>
                <c:pt idx="99">
                  <c:v>11-06-2024</c:v>
                </c:pt>
                <c:pt idx="100">
                  <c:v>12-06-2024</c:v>
                </c:pt>
                <c:pt idx="101">
                  <c:v>13-06-2024</c:v>
                </c:pt>
                <c:pt idx="102">
                  <c:v>14-06-2024</c:v>
                </c:pt>
                <c:pt idx="103">
                  <c:v>15-06-2024</c:v>
                </c:pt>
                <c:pt idx="104">
                  <c:v>16-06-2024</c:v>
                </c:pt>
                <c:pt idx="105">
                  <c:v>17-06-2024</c:v>
                </c:pt>
                <c:pt idx="106">
                  <c:v>18-06-2024</c:v>
                </c:pt>
                <c:pt idx="107">
                  <c:v>19-06-2024</c:v>
                </c:pt>
                <c:pt idx="108">
                  <c:v>20-06-2024</c:v>
                </c:pt>
                <c:pt idx="109">
                  <c:v>21-06-2024</c:v>
                </c:pt>
                <c:pt idx="110">
                  <c:v>22-06-2024</c:v>
                </c:pt>
                <c:pt idx="111">
                  <c:v>23-06-2024</c:v>
                </c:pt>
                <c:pt idx="112">
                  <c:v>24-06-2024</c:v>
                </c:pt>
                <c:pt idx="113">
                  <c:v>25-06-2024</c:v>
                </c:pt>
                <c:pt idx="114">
                  <c:v>26-06-2024</c:v>
                </c:pt>
                <c:pt idx="115">
                  <c:v>27-06-2024</c:v>
                </c:pt>
                <c:pt idx="116">
                  <c:v>28-06-2024</c:v>
                </c:pt>
                <c:pt idx="117">
                  <c:v>29-06-2024</c:v>
                </c:pt>
                <c:pt idx="118">
                  <c:v>30-06-2024</c:v>
                </c:pt>
                <c:pt idx="119">
                  <c:v>01-07-2024</c:v>
                </c:pt>
                <c:pt idx="120">
                  <c:v>02-07-2024</c:v>
                </c:pt>
                <c:pt idx="121">
                  <c:v>03-07-2024</c:v>
                </c:pt>
                <c:pt idx="122">
                  <c:v>04-07-2024</c:v>
                </c:pt>
                <c:pt idx="123">
                  <c:v>05-07-2024</c:v>
                </c:pt>
                <c:pt idx="124">
                  <c:v>06-07-2024</c:v>
                </c:pt>
                <c:pt idx="125">
                  <c:v>07-07-2024</c:v>
                </c:pt>
                <c:pt idx="126">
                  <c:v>08-07-2024</c:v>
                </c:pt>
                <c:pt idx="127">
                  <c:v>09-07-2024</c:v>
                </c:pt>
                <c:pt idx="128">
                  <c:v>10-07-2024</c:v>
                </c:pt>
                <c:pt idx="129">
                  <c:v>11-07-2024</c:v>
                </c:pt>
                <c:pt idx="130">
                  <c:v>12-07-2024</c:v>
                </c:pt>
                <c:pt idx="131">
                  <c:v>13-07-2024</c:v>
                </c:pt>
                <c:pt idx="132">
                  <c:v>14-07-2024</c:v>
                </c:pt>
                <c:pt idx="133">
                  <c:v>15-07-2024</c:v>
                </c:pt>
                <c:pt idx="134">
                  <c:v>16-07-2024</c:v>
                </c:pt>
                <c:pt idx="135">
                  <c:v>17-07-2024</c:v>
                </c:pt>
                <c:pt idx="136">
                  <c:v>18-07-2024</c:v>
                </c:pt>
                <c:pt idx="137">
                  <c:v>19-07-2024</c:v>
                </c:pt>
                <c:pt idx="138">
                  <c:v>20-07-2024</c:v>
                </c:pt>
                <c:pt idx="139">
                  <c:v>21-07-2024</c:v>
                </c:pt>
                <c:pt idx="140">
                  <c:v>22-07-2024</c:v>
                </c:pt>
                <c:pt idx="141">
                  <c:v>23-07-2024</c:v>
                </c:pt>
                <c:pt idx="142">
                  <c:v>24-07-2024</c:v>
                </c:pt>
                <c:pt idx="143">
                  <c:v>25-07-2024</c:v>
                </c:pt>
                <c:pt idx="144">
                  <c:v>26-07-2024</c:v>
                </c:pt>
                <c:pt idx="145">
                  <c:v>27-07-2024</c:v>
                </c:pt>
                <c:pt idx="146">
                  <c:v>28-07-2024</c:v>
                </c:pt>
                <c:pt idx="147">
                  <c:v>29-07-2024</c:v>
                </c:pt>
                <c:pt idx="148">
                  <c:v>30-07-2024</c:v>
                </c:pt>
                <c:pt idx="149">
                  <c:v>31-07-2024</c:v>
                </c:pt>
              </c:strCache>
            </c:strRef>
          </c:cat>
          <c:val>
            <c:numRef>
              <c:f>'DAILY SALES TREND'!$B$4:$B$154</c:f>
              <c:numCache>
                <c:formatCode>General</c:formatCode>
                <c:ptCount val="150"/>
                <c:pt idx="0">
                  <c:v>396.3</c:v>
                </c:pt>
                <c:pt idx="1">
                  <c:v>228.1</c:v>
                </c:pt>
                <c:pt idx="2">
                  <c:v>349.09999999999997</c:v>
                </c:pt>
                <c:pt idx="3">
                  <c:v>135.19999999999999</c:v>
                </c:pt>
                <c:pt idx="4">
                  <c:v>338.49999999999994</c:v>
                </c:pt>
                <c:pt idx="5">
                  <c:v>170.2</c:v>
                </c:pt>
                <c:pt idx="6">
                  <c:v>220.10000000000002</c:v>
                </c:pt>
                <c:pt idx="7">
                  <c:v>265.5</c:v>
                </c:pt>
                <c:pt idx="8">
                  <c:v>479.4</c:v>
                </c:pt>
                <c:pt idx="9">
                  <c:v>231.6</c:v>
                </c:pt>
                <c:pt idx="10">
                  <c:v>275.2</c:v>
                </c:pt>
                <c:pt idx="11">
                  <c:v>228.10000000000002</c:v>
                </c:pt>
                <c:pt idx="12">
                  <c:v>256.2</c:v>
                </c:pt>
                <c:pt idx="13">
                  <c:v>397.09999999999997</c:v>
                </c:pt>
                <c:pt idx="14">
                  <c:v>107.6</c:v>
                </c:pt>
                <c:pt idx="15">
                  <c:v>183.2</c:v>
                </c:pt>
                <c:pt idx="16">
                  <c:v>68.900000000000006</c:v>
                </c:pt>
                <c:pt idx="17">
                  <c:v>115.6</c:v>
                </c:pt>
                <c:pt idx="18">
                  <c:v>219.90000000000003</c:v>
                </c:pt>
                <c:pt idx="19">
                  <c:v>213.89999999999998</c:v>
                </c:pt>
                <c:pt idx="20">
                  <c:v>205.20000000000005</c:v>
                </c:pt>
                <c:pt idx="21">
                  <c:v>189.4</c:v>
                </c:pt>
                <c:pt idx="22">
                  <c:v>285.09999999999997</c:v>
                </c:pt>
                <c:pt idx="23">
                  <c:v>78.7</c:v>
                </c:pt>
                <c:pt idx="24">
                  <c:v>223.60000000000002</c:v>
                </c:pt>
                <c:pt idx="25">
                  <c:v>376.7</c:v>
                </c:pt>
                <c:pt idx="26">
                  <c:v>271.7</c:v>
                </c:pt>
                <c:pt idx="27">
                  <c:v>125.39999999999999</c:v>
                </c:pt>
                <c:pt idx="28">
                  <c:v>156.10000000000002</c:v>
                </c:pt>
                <c:pt idx="29">
                  <c:v>189.90000000000003</c:v>
                </c:pt>
                <c:pt idx="30">
                  <c:v>68.7</c:v>
                </c:pt>
                <c:pt idx="31">
                  <c:v>242.8</c:v>
                </c:pt>
                <c:pt idx="32">
                  <c:v>136.5</c:v>
                </c:pt>
                <c:pt idx="33">
                  <c:v>126.5</c:v>
                </c:pt>
                <c:pt idx="34">
                  <c:v>185</c:v>
                </c:pt>
                <c:pt idx="35">
                  <c:v>362.1</c:v>
                </c:pt>
                <c:pt idx="36">
                  <c:v>140.10000000000002</c:v>
                </c:pt>
                <c:pt idx="37">
                  <c:v>241.5</c:v>
                </c:pt>
                <c:pt idx="38">
                  <c:v>340.2</c:v>
                </c:pt>
                <c:pt idx="39">
                  <c:v>186.10000000000002</c:v>
                </c:pt>
                <c:pt idx="40">
                  <c:v>166.4</c:v>
                </c:pt>
                <c:pt idx="41">
                  <c:v>169</c:v>
                </c:pt>
                <c:pt idx="42">
                  <c:v>67.599999999999994</c:v>
                </c:pt>
                <c:pt idx="43">
                  <c:v>302.39999999999998</c:v>
                </c:pt>
                <c:pt idx="44">
                  <c:v>434.2999999999999</c:v>
                </c:pt>
                <c:pt idx="45">
                  <c:v>150.39999999999998</c:v>
                </c:pt>
                <c:pt idx="46">
                  <c:v>276.5</c:v>
                </c:pt>
                <c:pt idx="47">
                  <c:v>199.20000000000002</c:v>
                </c:pt>
                <c:pt idx="48">
                  <c:v>352.69999999999993</c:v>
                </c:pt>
                <c:pt idx="49">
                  <c:v>261.10000000000002</c:v>
                </c:pt>
                <c:pt idx="50">
                  <c:v>494.30000000000007</c:v>
                </c:pt>
                <c:pt idx="51">
                  <c:v>104.64</c:v>
                </c:pt>
                <c:pt idx="52">
                  <c:v>176.46</c:v>
                </c:pt>
                <c:pt idx="53">
                  <c:v>173.89999999999998</c:v>
                </c:pt>
                <c:pt idx="54">
                  <c:v>272.35999999999996</c:v>
                </c:pt>
                <c:pt idx="55">
                  <c:v>121.48</c:v>
                </c:pt>
                <c:pt idx="56">
                  <c:v>300.28000000000009</c:v>
                </c:pt>
                <c:pt idx="57">
                  <c:v>37.72</c:v>
                </c:pt>
                <c:pt idx="58">
                  <c:v>169</c:v>
                </c:pt>
                <c:pt idx="59">
                  <c:v>257.65999999999997</c:v>
                </c:pt>
                <c:pt idx="60">
                  <c:v>272.35999999999996</c:v>
                </c:pt>
                <c:pt idx="61">
                  <c:v>245.72</c:v>
                </c:pt>
                <c:pt idx="62">
                  <c:v>114.44</c:v>
                </c:pt>
                <c:pt idx="63">
                  <c:v>314.58000000000004</c:v>
                </c:pt>
                <c:pt idx="64">
                  <c:v>344.08000000000004</c:v>
                </c:pt>
                <c:pt idx="65">
                  <c:v>37.72</c:v>
                </c:pt>
                <c:pt idx="66">
                  <c:v>295.38</c:v>
                </c:pt>
                <c:pt idx="67">
                  <c:v>148.44</c:v>
                </c:pt>
                <c:pt idx="68">
                  <c:v>293.24</c:v>
                </c:pt>
                <c:pt idx="69">
                  <c:v>272.35999999999996</c:v>
                </c:pt>
                <c:pt idx="70">
                  <c:v>90.82</c:v>
                </c:pt>
                <c:pt idx="71">
                  <c:v>403.64</c:v>
                </c:pt>
                <c:pt idx="72">
                  <c:v>350.82000000000005</c:v>
                </c:pt>
                <c:pt idx="73">
                  <c:v>327.34000000000003</c:v>
                </c:pt>
                <c:pt idx="74">
                  <c:v>306.36</c:v>
                </c:pt>
                <c:pt idx="75">
                  <c:v>283.43999999999994</c:v>
                </c:pt>
                <c:pt idx="76">
                  <c:v>417.84000000000003</c:v>
                </c:pt>
                <c:pt idx="77">
                  <c:v>559.0200000000001</c:v>
                </c:pt>
                <c:pt idx="78">
                  <c:v>314.89999999999998</c:v>
                </c:pt>
                <c:pt idx="79">
                  <c:v>370.82000000000005</c:v>
                </c:pt>
                <c:pt idx="80">
                  <c:v>575.4000000000002</c:v>
                </c:pt>
                <c:pt idx="81">
                  <c:v>210.14</c:v>
                </c:pt>
                <c:pt idx="82">
                  <c:v>254.91999999999996</c:v>
                </c:pt>
                <c:pt idx="83">
                  <c:v>526.60000000000014</c:v>
                </c:pt>
                <c:pt idx="84">
                  <c:v>365.91999999999996</c:v>
                </c:pt>
                <c:pt idx="85">
                  <c:v>372.1</c:v>
                </c:pt>
                <c:pt idx="86">
                  <c:v>396.6</c:v>
                </c:pt>
                <c:pt idx="87">
                  <c:v>370.82</c:v>
                </c:pt>
                <c:pt idx="88">
                  <c:v>499.96000000000004</c:v>
                </c:pt>
                <c:pt idx="89">
                  <c:v>386.8</c:v>
                </c:pt>
                <c:pt idx="90">
                  <c:v>212.79999999999998</c:v>
                </c:pt>
                <c:pt idx="91">
                  <c:v>251.7</c:v>
                </c:pt>
                <c:pt idx="92">
                  <c:v>474.18</c:v>
                </c:pt>
                <c:pt idx="93">
                  <c:v>310.08</c:v>
                </c:pt>
                <c:pt idx="94">
                  <c:v>385.52</c:v>
                </c:pt>
                <c:pt idx="95">
                  <c:v>149.4</c:v>
                </c:pt>
                <c:pt idx="96">
                  <c:v>136.18</c:v>
                </c:pt>
                <c:pt idx="97">
                  <c:v>436.46000000000004</c:v>
                </c:pt>
                <c:pt idx="98">
                  <c:v>226.32</c:v>
                </c:pt>
                <c:pt idx="99">
                  <c:v>211.61999999999998</c:v>
                </c:pt>
                <c:pt idx="100">
                  <c:v>221.42</c:v>
                </c:pt>
                <c:pt idx="101">
                  <c:v>379.14</c:v>
                </c:pt>
                <c:pt idx="102">
                  <c:v>126.38</c:v>
                </c:pt>
                <c:pt idx="103">
                  <c:v>262.56</c:v>
                </c:pt>
                <c:pt idx="104">
                  <c:v>408.53999999999996</c:v>
                </c:pt>
                <c:pt idx="105">
                  <c:v>323.3</c:v>
                </c:pt>
                <c:pt idx="106">
                  <c:v>234.64</c:v>
                </c:pt>
                <c:pt idx="107">
                  <c:v>380.61999999999995</c:v>
                </c:pt>
                <c:pt idx="108">
                  <c:v>221.42</c:v>
                </c:pt>
                <c:pt idx="109">
                  <c:v>403.6400000000001</c:v>
                </c:pt>
                <c:pt idx="110">
                  <c:v>169</c:v>
                </c:pt>
                <c:pt idx="111">
                  <c:v>178.79999999999998</c:v>
                </c:pt>
                <c:pt idx="112">
                  <c:v>221.42</c:v>
                </c:pt>
                <c:pt idx="113">
                  <c:v>141.07999999999998</c:v>
                </c:pt>
                <c:pt idx="114">
                  <c:v>196.92</c:v>
                </c:pt>
                <c:pt idx="115">
                  <c:v>131.28</c:v>
                </c:pt>
                <c:pt idx="116">
                  <c:v>159.19999999999999</c:v>
                </c:pt>
                <c:pt idx="117">
                  <c:v>287.06</c:v>
                </c:pt>
                <c:pt idx="118">
                  <c:v>131.28</c:v>
                </c:pt>
                <c:pt idx="119">
                  <c:v>98.46</c:v>
                </c:pt>
                <c:pt idx="120">
                  <c:v>192.02</c:v>
                </c:pt>
                <c:pt idx="121">
                  <c:v>310.08000000000004</c:v>
                </c:pt>
                <c:pt idx="122">
                  <c:v>60.74</c:v>
                </c:pt>
                <c:pt idx="123">
                  <c:v>303.7</c:v>
                </c:pt>
                <c:pt idx="124">
                  <c:v>164.09999999999997</c:v>
                </c:pt>
                <c:pt idx="125">
                  <c:v>346.32</c:v>
                </c:pt>
                <c:pt idx="126">
                  <c:v>139.6</c:v>
                </c:pt>
                <c:pt idx="127">
                  <c:v>144.5</c:v>
                </c:pt>
                <c:pt idx="128">
                  <c:v>83.759999999999991</c:v>
                </c:pt>
                <c:pt idx="129">
                  <c:v>116.58</c:v>
                </c:pt>
                <c:pt idx="130">
                  <c:v>154.29999999999998</c:v>
                </c:pt>
                <c:pt idx="131">
                  <c:v>65.64</c:v>
                </c:pt>
                <c:pt idx="132">
                  <c:v>172.42</c:v>
                </c:pt>
                <c:pt idx="133">
                  <c:v>32.82</c:v>
                </c:pt>
                <c:pt idx="134">
                  <c:v>60.74</c:v>
                </c:pt>
                <c:pt idx="135">
                  <c:v>27.92</c:v>
                </c:pt>
                <c:pt idx="136">
                  <c:v>312.02</c:v>
                </c:pt>
                <c:pt idx="137">
                  <c:v>242.95999999999998</c:v>
                </c:pt>
                <c:pt idx="138">
                  <c:v>200.34</c:v>
                </c:pt>
                <c:pt idx="139">
                  <c:v>121.47999999999999</c:v>
                </c:pt>
                <c:pt idx="140">
                  <c:v>106.78</c:v>
                </c:pt>
                <c:pt idx="141">
                  <c:v>339.94</c:v>
                </c:pt>
                <c:pt idx="142">
                  <c:v>330.14</c:v>
                </c:pt>
                <c:pt idx="143">
                  <c:v>269.40000000000003</c:v>
                </c:pt>
                <c:pt idx="144">
                  <c:v>461.41999999999996</c:v>
                </c:pt>
                <c:pt idx="145">
                  <c:v>372.76</c:v>
                </c:pt>
                <c:pt idx="146">
                  <c:v>78.860000000000014</c:v>
                </c:pt>
                <c:pt idx="147">
                  <c:v>321.81999999999994</c:v>
                </c:pt>
                <c:pt idx="148">
                  <c:v>650.48000000000013</c:v>
                </c:pt>
                <c:pt idx="149">
                  <c:v>633.84</c:v>
                </c:pt>
              </c:numCache>
            </c:numRef>
          </c:val>
          <c:smooth val="0"/>
        </c:ser>
        <c:dLbls>
          <c:showLegendKey val="0"/>
          <c:showVal val="0"/>
          <c:showCatName val="0"/>
          <c:showSerName val="0"/>
          <c:showPercent val="0"/>
          <c:showBubbleSize val="0"/>
        </c:dLbls>
        <c:smooth val="0"/>
        <c:axId val="278902688"/>
        <c:axId val="278900336"/>
      </c:lineChart>
      <c:catAx>
        <c:axId val="2789026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900336"/>
        <c:crosses val="autoZero"/>
        <c:auto val="1"/>
        <c:lblAlgn val="ctr"/>
        <c:lblOffset val="100"/>
        <c:noMultiLvlLbl val="0"/>
      </c:catAx>
      <c:valAx>
        <c:axId val="27890033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902688"/>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 BACKUP.XLSX]COFFEE WISE SALES!PivotTable8</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'COFFEE WISE SALES'!$B$3</c:f>
              <c:strCache>
                <c:ptCount val="1"/>
                <c:pt idx="0">
                  <c:v>Total</c:v>
                </c:pt>
              </c:strCache>
            </c:strRef>
          </c:tx>
          <c:spPr>
            <a:solidFill>
              <a:schemeClr val="accent1"/>
            </a:solidFill>
            <a:ln>
              <a:noFill/>
            </a:ln>
            <a:effectLst/>
          </c:spPr>
          <c:invertIfNegative val="0"/>
          <c:cat>
            <c:strRef>
              <c:f>'COFFEE WISE SALES'!$A$4:$A$12</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'COFFEE WISE SALES'!$B$4:$B$12</c:f>
              <c:numCache>
                <c:formatCode>General</c:formatCode>
                <c:ptCount val="8"/>
                <c:pt idx="0">
                  <c:v>4644.5400000000163</c:v>
                </c:pt>
                <c:pt idx="1">
                  <c:v>8601.939999999986</c:v>
                </c:pt>
                <c:pt idx="2">
                  <c:v>7333.1399999999994</c:v>
                </c:pt>
                <c:pt idx="3">
                  <c:v>1295.9399999999998</c:v>
                </c:pt>
                <c:pt idx="4">
                  <c:v>2745.0800000000027</c:v>
                </c:pt>
                <c:pt idx="5">
                  <c:v>1100.6199999999992</c:v>
                </c:pt>
                <c:pt idx="6">
                  <c:v>2778.4800000000009</c:v>
                </c:pt>
                <c:pt idx="7">
                  <c:v>9009.1399999999976</c:v>
                </c:pt>
              </c:numCache>
            </c:numRef>
          </c:val>
        </c:ser>
        <c:dLbls>
          <c:showLegendKey val="0"/>
          <c:showVal val="0"/>
          <c:showCatName val="0"/>
          <c:showSerName val="0"/>
          <c:showPercent val="0"/>
          <c:showBubbleSize val="0"/>
        </c:dLbls>
        <c:gapWidth val="182"/>
        <c:axId val="278898376"/>
        <c:axId val="278899552"/>
      </c:barChart>
      <c:catAx>
        <c:axId val="278898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899552"/>
        <c:crosses val="autoZero"/>
        <c:auto val="1"/>
        <c:lblAlgn val="ctr"/>
        <c:lblOffset val="100"/>
        <c:noMultiLvlLbl val="0"/>
      </c:catAx>
      <c:valAx>
        <c:axId val="278899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898376"/>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 BACKUP.XLSX]MONTHLY SALES!PivotTable9</c:name>
    <c:fmtId val="6"/>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10458092738407698"/>
          <c:y val="0.14249781277340332"/>
          <c:w val="0.85853018372703416"/>
          <c:h val="0.65853091280256637"/>
        </c:manualLayout>
      </c:layout>
      <c:areaChart>
        <c:grouping val="standard"/>
        <c:varyColors val="0"/>
        <c:ser>
          <c:idx val="0"/>
          <c:order val="0"/>
          <c:tx>
            <c:strRef>
              <c:f>'MONTHLY SALES'!$B$3</c:f>
              <c:strCache>
                <c:ptCount val="1"/>
                <c:pt idx="0">
                  <c:v>Total</c:v>
                </c:pt>
              </c:strCache>
            </c:strRef>
          </c:tx>
          <c:spPr>
            <a:solidFill>
              <a:schemeClr val="accent1"/>
            </a:solidFill>
            <a:ln>
              <a:noFill/>
            </a:ln>
            <a:effectLst/>
          </c:spPr>
          <c:cat>
            <c:strRef>
              <c:f>'MONTHLY SALES'!$A$4:$A$9</c:f>
              <c:strCache>
                <c:ptCount val="5"/>
                <c:pt idx="0">
                  <c:v>3</c:v>
                </c:pt>
                <c:pt idx="1">
                  <c:v>4</c:v>
                </c:pt>
                <c:pt idx="2">
                  <c:v>5</c:v>
                </c:pt>
                <c:pt idx="3">
                  <c:v>6</c:v>
                </c:pt>
                <c:pt idx="4">
                  <c:v>7</c:v>
                </c:pt>
              </c:strCache>
            </c:strRef>
          </c:cat>
          <c:val>
            <c:numRef>
              <c:f>'MONTHLY SALES'!$B$4:$B$9</c:f>
              <c:numCache>
                <c:formatCode>General</c:formatCode>
                <c:ptCount val="5"/>
                <c:pt idx="0">
                  <c:v>7050.1999999999871</c:v>
                </c:pt>
                <c:pt idx="1">
                  <c:v>6720.5600000000013</c:v>
                </c:pt>
                <c:pt idx="2">
                  <c:v>9063.4200000000019</c:v>
                </c:pt>
                <c:pt idx="3">
                  <c:v>7758.7600000000048</c:v>
                </c:pt>
                <c:pt idx="4">
                  <c:v>6915.940000000006</c:v>
                </c:pt>
              </c:numCache>
            </c:numRef>
          </c:val>
        </c:ser>
        <c:dLbls>
          <c:showLegendKey val="0"/>
          <c:showVal val="0"/>
          <c:showCatName val="0"/>
          <c:showSerName val="0"/>
          <c:showPercent val="0"/>
          <c:showBubbleSize val="0"/>
        </c:dLbls>
        <c:axId val="278901120"/>
        <c:axId val="278901512"/>
      </c:areaChart>
      <c:catAx>
        <c:axId val="2789011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901512"/>
        <c:crosses val="autoZero"/>
        <c:auto val="1"/>
        <c:lblAlgn val="ctr"/>
        <c:lblOffset val="100"/>
        <c:noMultiLvlLbl val="0"/>
      </c:catAx>
      <c:valAx>
        <c:axId val="2789015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901120"/>
        <c:crosses val="autoZero"/>
        <c:crossBetween val="midCat"/>
      </c:valAx>
      <c:spPr>
        <a:noFill/>
        <a:ln>
          <a:noFill/>
        </a:ln>
        <a:effectLst/>
      </c:spPr>
    </c:plotArea>
    <c:plotVisOnly val="1"/>
    <c:dispBlanksAs val="zero"/>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 BACKUP.XLSX]CASH VS CARD!PivotTable7</c:name>
    <c:fmtId val="10"/>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2826780745940245"/>
          <c:y val="7.9898100972672539E-2"/>
          <c:w val="0.40654531347553841"/>
          <c:h val="0.86291235654366738"/>
        </c:manualLayout>
      </c:layout>
      <c:pieChart>
        <c:varyColors val="1"/>
        <c:ser>
          <c:idx val="0"/>
          <c:order val="0"/>
          <c:tx>
            <c:strRef>
              <c:f>'CASH VS CARD'!$B$3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'CASH VS CARD'!$A$4:$A$6</c:f>
              <c:strCache>
                <c:ptCount val="2"/>
                <c:pt idx="0">
                  <c:v>card</c:v>
                </c:pt>
                <c:pt idx="1">
                  <c:v>cash</c:v>
                </c:pt>
              </c:strCache>
            </c:strRef>
          </c:cat>
          <c:val>
            <c:numRef>
              <c:f>'CASH VS CARD'!$B$4:$B$6</c:f>
              <c:numCache>
                <c:formatCode>General</c:formatCode>
                <c:ptCount val="2"/>
                <c:pt idx="0">
                  <c:v>34322.879999999845</c:v>
                </c:pt>
                <c:pt idx="1">
                  <c:v>3186</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1">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5</xdr:col>
      <xdr:colOff>563880</xdr:colOff>
      <xdr:row>2</xdr:row>
      <xdr:rowOff>99060</xdr:rowOff>
    </xdr:from>
    <xdr:to>
      <xdr:col>13</xdr:col>
      <xdr:colOff>259080</xdr:colOff>
      <xdr:row>17</xdr:row>
      <xdr:rowOff>99060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76200</xdr:colOff>
      <xdr:row>5</xdr:row>
      <xdr:rowOff>15240</xdr:rowOff>
    </xdr:from>
    <xdr:to>
      <xdr:col>14</xdr:col>
      <xdr:colOff>381000</xdr:colOff>
      <xdr:row>20</xdr:row>
      <xdr:rowOff>15240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198120</xdr:colOff>
      <xdr:row>3</xdr:row>
      <xdr:rowOff>45720</xdr:rowOff>
    </xdr:from>
    <xdr:to>
      <xdr:col>12</xdr:col>
      <xdr:colOff>502920</xdr:colOff>
      <xdr:row>18</xdr:row>
      <xdr:rowOff>45720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304800</xdr:colOff>
      <xdr:row>8</xdr:row>
      <xdr:rowOff>30480</xdr:rowOff>
    </xdr:from>
    <xdr:to>
      <xdr:col>13</xdr:col>
      <xdr:colOff>0</xdr:colOff>
      <xdr:row>23</xdr:row>
      <xdr:rowOff>30480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304800</xdr:colOff>
      <xdr:row>8</xdr:row>
      <xdr:rowOff>30480</xdr:rowOff>
    </xdr:from>
    <xdr:to>
      <xdr:col>13</xdr:col>
      <xdr:colOff>0</xdr:colOff>
      <xdr:row>23</xdr:row>
      <xdr:rowOff>30480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106680</xdr:colOff>
      <xdr:row>5</xdr:row>
      <xdr:rowOff>121920</xdr:rowOff>
    </xdr:from>
    <xdr:to>
      <xdr:col>12</xdr:col>
      <xdr:colOff>411480</xdr:colOff>
      <xdr:row>20</xdr:row>
      <xdr:rowOff>121920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182880</xdr:colOff>
      <xdr:row>6</xdr:row>
      <xdr:rowOff>38100</xdr:rowOff>
    </xdr:from>
    <xdr:to>
      <xdr:col>6</xdr:col>
      <xdr:colOff>182880</xdr:colOff>
      <xdr:row>19</xdr:row>
      <xdr:rowOff>127635</xdr:rowOff>
    </xdr:to>
    <mc:AlternateContent xmlns:mc="http://schemas.openxmlformats.org/markup-compatibility/2006" xmlns:a14="http://schemas.microsoft.com/office/drawing/2010/main">
      <mc:Choice Requires="a14">
        <xdr:graphicFrame macro="">
          <xdr:nvGraphicFramePr>
            <xdr:cNvPr id="3"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575560" y="11353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525780</xdr:colOff>
      <xdr:row>10</xdr:row>
      <xdr:rowOff>45720</xdr:rowOff>
    </xdr:from>
    <xdr:to>
      <xdr:col>2</xdr:col>
      <xdr:colOff>571500</xdr:colOff>
      <xdr:row>23</xdr:row>
      <xdr:rowOff>135255</xdr:rowOff>
    </xdr:to>
    <mc:AlternateContent xmlns:mc="http://schemas.openxmlformats.org/markup-compatibility/2006" xmlns:a14="http://schemas.microsoft.com/office/drawing/2010/main">
      <mc:Choice Requires="a14">
        <xdr:graphicFrame macro="">
          <xdr:nvGraphicFramePr>
            <xdr:cNvPr id="4"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25780" y="1874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129540</xdr:colOff>
      <xdr:row>16</xdr:row>
      <xdr:rowOff>15240</xdr:rowOff>
    </xdr:from>
    <xdr:to>
      <xdr:col>9</xdr:col>
      <xdr:colOff>129540</xdr:colOff>
      <xdr:row>29</xdr:row>
      <xdr:rowOff>104775</xdr:rowOff>
    </xdr:to>
    <mc:AlternateContent xmlns:mc="http://schemas.openxmlformats.org/markup-compatibility/2006" xmlns:a14="http://schemas.microsoft.com/office/drawing/2010/main">
      <mc:Choice Requires="a14">
        <xdr:graphicFrame macro="">
          <xdr:nvGraphicFramePr>
            <xdr:cNvPr id="5" name="coffee_name"/>
            <xdr:cNvGraphicFramePr/>
          </xdr:nvGraphicFramePr>
          <xdr:xfrm>
            <a:off x="0" y="0"/>
            <a:ext cx="0" cy="0"/>
          </xdr:xfrm>
          <a:graphic>
            <a:graphicData uri="http://schemas.microsoft.com/office/drawing/2010/slicer">
              <sle:slicer xmlns:sle="http://schemas.microsoft.com/office/drawing/2010/slicer" name="coffee_name"/>
            </a:graphicData>
          </a:graphic>
        </xdr:graphicFrame>
      </mc:Choice>
      <mc:Fallback xmlns="">
        <xdr:sp macro="" textlink="">
          <xdr:nvSpPr>
            <xdr:cNvPr id="0" name=""/>
            <xdr:cNvSpPr>
              <a:spLocks noTextEdit="1"/>
            </xdr:cNvSpPr>
          </xdr:nvSpPr>
          <xdr:spPr>
            <a:xfrm>
              <a:off x="4351020" y="2941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5</xdr:col>
      <xdr:colOff>304800</xdr:colOff>
      <xdr:row>8</xdr:row>
      <xdr:rowOff>30480</xdr:rowOff>
    </xdr:from>
    <xdr:to>
      <xdr:col>13</xdr:col>
      <xdr:colOff>0</xdr:colOff>
      <xdr:row>23</xdr:row>
      <xdr:rowOff>30480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152400</xdr:colOff>
      <xdr:row>0</xdr:row>
      <xdr:rowOff>99060</xdr:rowOff>
    </xdr:from>
    <xdr:to>
      <xdr:col>28</xdr:col>
      <xdr:colOff>144780</xdr:colOff>
      <xdr:row>5</xdr:row>
      <xdr:rowOff>0</xdr:rowOff>
    </xdr:to>
    <xdr:sp macro="" textlink="">
      <xdr:nvSpPr>
        <xdr:cNvPr id="4" name="Rounded Rectangle 3"/>
        <xdr:cNvSpPr/>
      </xdr:nvSpPr>
      <xdr:spPr>
        <a:xfrm>
          <a:off x="3200400" y="99060"/>
          <a:ext cx="14013180" cy="815340"/>
        </a:xfrm>
        <a:prstGeom prst="roundRect">
          <a:avLst/>
        </a:prstGeom>
        <a:solidFill>
          <a:schemeClr val="accent1"/>
        </a:solidFill>
        <a:ln>
          <a:solidFill>
            <a:srgbClr val="6B4433"/>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solidFill>
          </a:endParaRPr>
        </a:p>
      </xdr:txBody>
    </xdr:sp>
    <xdr:clientData/>
  </xdr:twoCellAnchor>
  <xdr:oneCellAnchor>
    <xdr:from>
      <xdr:col>5</xdr:col>
      <xdr:colOff>354649</xdr:colOff>
      <xdr:row>0</xdr:row>
      <xdr:rowOff>171265</xdr:rowOff>
    </xdr:from>
    <xdr:ext cx="4274183" cy="530658"/>
    <xdr:sp macro="" textlink="">
      <xdr:nvSpPr>
        <xdr:cNvPr id="5" name="Rectangle 4"/>
        <xdr:cNvSpPr/>
      </xdr:nvSpPr>
      <xdr:spPr>
        <a:xfrm>
          <a:off x="3402649" y="171265"/>
          <a:ext cx="4274183" cy="530658"/>
        </a:xfrm>
        <a:prstGeom prst="rect">
          <a:avLst/>
        </a:prstGeom>
        <a:noFill/>
      </xdr:spPr>
      <xdr:txBody>
        <a:bodyPr wrap="none" lIns="91440" tIns="45720" rIns="91440" bIns="45720">
          <a:spAutoFit/>
        </a:bodyPr>
        <a:lstStyle/>
        <a:p>
          <a:pPr algn="ctr"/>
          <a:r>
            <a:rPr lang="en-US" sz="28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COFFEE</a:t>
          </a:r>
          <a:r>
            <a:rPr lang="en-US" sz="28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SALES DASHBOARD</a:t>
          </a:r>
          <a:endParaRPr lang="en-US" sz="28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twoCellAnchor editAs="oneCell">
    <xdr:from>
      <xdr:col>12</xdr:col>
      <xdr:colOff>601980</xdr:colOff>
      <xdr:row>0</xdr:row>
      <xdr:rowOff>137160</xdr:rowOff>
    </xdr:from>
    <xdr:to>
      <xdr:col>16</xdr:col>
      <xdr:colOff>83820</xdr:colOff>
      <xdr:row>4</xdr:row>
      <xdr:rowOff>68580</xdr:rowOff>
    </xdr:to>
    <mc:AlternateContent xmlns:mc="http://schemas.openxmlformats.org/markup-compatibility/2006">
      <mc:Choice xmlns:a14="http://schemas.microsoft.com/office/drawing/2010/main" Requires="a14">
        <xdr:graphicFrame macro="">
          <xdr:nvGraphicFramePr>
            <xdr:cNvPr id="6"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7917180" y="137160"/>
              <a:ext cx="1920240" cy="662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144780</xdr:colOff>
      <xdr:row>0</xdr:row>
      <xdr:rowOff>160021</xdr:rowOff>
    </xdr:from>
    <xdr:to>
      <xdr:col>22</xdr:col>
      <xdr:colOff>30480</xdr:colOff>
      <xdr:row>4</xdr:row>
      <xdr:rowOff>22861</xdr:rowOff>
    </xdr:to>
    <mc:AlternateContent xmlns:mc="http://schemas.openxmlformats.org/markup-compatibility/2006" xmlns:a14="http://schemas.microsoft.com/office/drawing/2010/main">
      <mc:Choice Requires="a14">
        <xdr:graphicFrame macro="">
          <xdr:nvGraphicFramePr>
            <xdr:cNvPr id="7" name="coffee_name 1"/>
            <xdr:cNvGraphicFramePr/>
          </xdr:nvGraphicFramePr>
          <xdr:xfrm>
            <a:off x="0" y="0"/>
            <a:ext cx="0" cy="0"/>
          </xdr:xfrm>
          <a:graphic>
            <a:graphicData uri="http://schemas.microsoft.com/office/drawing/2010/slicer">
              <sle:slicer xmlns:sle="http://schemas.microsoft.com/office/drawing/2010/slicer" name="coffee_name 1"/>
            </a:graphicData>
          </a:graphic>
        </xdr:graphicFrame>
      </mc:Choice>
      <mc:Fallback xmlns="">
        <xdr:sp macro="" textlink="">
          <xdr:nvSpPr>
            <xdr:cNvPr id="0" name=""/>
            <xdr:cNvSpPr>
              <a:spLocks noTextEdit="1"/>
            </xdr:cNvSpPr>
          </xdr:nvSpPr>
          <xdr:spPr>
            <a:xfrm>
              <a:off x="9898380" y="160021"/>
              <a:ext cx="3543300" cy="594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167640</xdr:colOff>
      <xdr:row>0</xdr:row>
      <xdr:rowOff>137161</xdr:rowOff>
    </xdr:from>
    <xdr:to>
      <xdr:col>28</xdr:col>
      <xdr:colOff>7620</xdr:colOff>
      <xdr:row>4</xdr:row>
      <xdr:rowOff>60960</xdr:rowOff>
    </xdr:to>
    <mc:AlternateContent xmlns:mc="http://schemas.openxmlformats.org/markup-compatibility/2006" xmlns:a14="http://schemas.microsoft.com/office/drawing/2010/main">
      <mc:Choice Requires="a14">
        <xdr:graphicFrame macro="">
          <xdr:nvGraphicFramePr>
            <xdr:cNvPr id="8" name="MONTH 1"/>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3578840" y="137161"/>
              <a:ext cx="3497580" cy="6553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160020</xdr:colOff>
      <xdr:row>5</xdr:row>
      <xdr:rowOff>160020</xdr:rowOff>
    </xdr:from>
    <xdr:to>
      <xdr:col>11</xdr:col>
      <xdr:colOff>426720</xdr:colOff>
      <xdr:row>30</xdr:row>
      <xdr:rowOff>121920</xdr:rowOff>
    </xdr:to>
    <xdr:sp macro="" textlink="">
      <xdr:nvSpPr>
        <xdr:cNvPr id="9" name="Rounded Rectangle 8"/>
        <xdr:cNvSpPr/>
      </xdr:nvSpPr>
      <xdr:spPr>
        <a:xfrm>
          <a:off x="3208020" y="1074420"/>
          <a:ext cx="3924300" cy="4533900"/>
        </a:xfrm>
        <a:prstGeom prst="roundRect">
          <a:avLst>
            <a:gd name="adj" fmla="val 11601"/>
          </a:avLst>
        </a:prstGeom>
        <a:solidFill>
          <a:schemeClr val="bg1"/>
        </a:solidFill>
        <a:ln>
          <a:solidFill>
            <a:srgbClr val="6B4433"/>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22860</xdr:colOff>
      <xdr:row>6</xdr:row>
      <xdr:rowOff>22860</xdr:rowOff>
    </xdr:from>
    <xdr:to>
      <xdr:col>20</xdr:col>
      <xdr:colOff>419100</xdr:colOff>
      <xdr:row>18</xdr:row>
      <xdr:rowOff>144780</xdr:rowOff>
    </xdr:to>
    <xdr:sp macro="" textlink="">
      <xdr:nvSpPr>
        <xdr:cNvPr id="10" name="Rounded Rectangle 9"/>
        <xdr:cNvSpPr/>
      </xdr:nvSpPr>
      <xdr:spPr>
        <a:xfrm>
          <a:off x="7338060" y="1120140"/>
          <a:ext cx="5273040" cy="2316480"/>
        </a:xfrm>
        <a:prstGeom prst="roundRect">
          <a:avLst>
            <a:gd name="adj" fmla="val 11795"/>
          </a:avLst>
        </a:prstGeom>
        <a:solidFill>
          <a:schemeClr val="bg1"/>
        </a:solidFill>
        <a:ln>
          <a:solidFill>
            <a:srgbClr val="6B4433"/>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12</xdr:col>
      <xdr:colOff>114300</xdr:colOff>
      <xdr:row>19</xdr:row>
      <xdr:rowOff>106680</xdr:rowOff>
    </xdr:from>
    <xdr:to>
      <xdr:col>18</xdr:col>
      <xdr:colOff>76200</xdr:colOff>
      <xdr:row>30</xdr:row>
      <xdr:rowOff>76200</xdr:rowOff>
    </xdr:to>
    <xdr:sp macro="" textlink="">
      <xdr:nvSpPr>
        <xdr:cNvPr id="11" name="Rounded Rectangle 10"/>
        <xdr:cNvSpPr/>
      </xdr:nvSpPr>
      <xdr:spPr>
        <a:xfrm>
          <a:off x="7429500" y="3581400"/>
          <a:ext cx="3619500" cy="1981200"/>
        </a:xfrm>
        <a:prstGeom prst="roundRect">
          <a:avLst>
            <a:gd name="adj" fmla="val 11795"/>
          </a:avLst>
        </a:prstGeom>
        <a:noFill/>
        <a:ln>
          <a:solidFill>
            <a:srgbClr val="6B4433"/>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297180</xdr:colOff>
      <xdr:row>20</xdr:row>
      <xdr:rowOff>7620</xdr:rowOff>
    </xdr:from>
    <xdr:to>
      <xdr:col>28</xdr:col>
      <xdr:colOff>274320</xdr:colOff>
      <xdr:row>30</xdr:row>
      <xdr:rowOff>91440</xdr:rowOff>
    </xdr:to>
    <xdr:sp macro="" textlink="">
      <xdr:nvSpPr>
        <xdr:cNvPr id="12" name="Rounded Rectangle 11"/>
        <xdr:cNvSpPr/>
      </xdr:nvSpPr>
      <xdr:spPr>
        <a:xfrm>
          <a:off x="11269980" y="3665220"/>
          <a:ext cx="6073140" cy="1912620"/>
        </a:xfrm>
        <a:prstGeom prst="roundRect">
          <a:avLst>
            <a:gd name="adj" fmla="val 11795"/>
          </a:avLst>
        </a:prstGeom>
        <a:solidFill>
          <a:schemeClr val="bg1"/>
        </a:solidFill>
        <a:ln>
          <a:solidFill>
            <a:srgbClr val="6B4433"/>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7620</xdr:colOff>
      <xdr:row>5</xdr:row>
      <xdr:rowOff>137160</xdr:rowOff>
    </xdr:from>
    <xdr:to>
      <xdr:col>28</xdr:col>
      <xdr:colOff>129540</xdr:colOff>
      <xdr:row>18</xdr:row>
      <xdr:rowOff>144780</xdr:rowOff>
    </xdr:to>
    <xdr:sp macro="" textlink="">
      <xdr:nvSpPr>
        <xdr:cNvPr id="13" name="Rounded Rectangle 12"/>
        <xdr:cNvSpPr/>
      </xdr:nvSpPr>
      <xdr:spPr>
        <a:xfrm>
          <a:off x="12809220" y="1051560"/>
          <a:ext cx="4389120" cy="2385060"/>
        </a:xfrm>
        <a:prstGeom prst="roundRect">
          <a:avLst>
            <a:gd name="adj" fmla="val 11795"/>
          </a:avLst>
        </a:prstGeom>
        <a:noFill/>
        <a:ln>
          <a:solidFill>
            <a:srgbClr val="6B4433"/>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388620</xdr:colOff>
      <xdr:row>8</xdr:row>
      <xdr:rowOff>152400</xdr:rowOff>
    </xdr:from>
    <xdr:to>
      <xdr:col>11</xdr:col>
      <xdr:colOff>190500</xdr:colOff>
      <xdr:row>29</xdr:row>
      <xdr:rowOff>106680</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251460</xdr:colOff>
      <xdr:row>8</xdr:row>
      <xdr:rowOff>7620</xdr:rowOff>
    </xdr:from>
    <xdr:to>
      <xdr:col>20</xdr:col>
      <xdr:colOff>205740</xdr:colOff>
      <xdr:row>17</xdr:row>
      <xdr:rowOff>152400</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266700</xdr:colOff>
      <xdr:row>7</xdr:row>
      <xdr:rowOff>175260</xdr:rowOff>
    </xdr:from>
    <xdr:to>
      <xdr:col>28</xdr:col>
      <xdr:colOff>22860</xdr:colOff>
      <xdr:row>17</xdr:row>
      <xdr:rowOff>175260</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464820</xdr:colOff>
      <xdr:row>21</xdr:row>
      <xdr:rowOff>144780</xdr:rowOff>
    </xdr:from>
    <xdr:to>
      <xdr:col>28</xdr:col>
      <xdr:colOff>22860</xdr:colOff>
      <xdr:row>29</xdr:row>
      <xdr:rowOff>137160</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259080</xdr:colOff>
      <xdr:row>21</xdr:row>
      <xdr:rowOff>53340</xdr:rowOff>
    </xdr:from>
    <xdr:to>
      <xdr:col>17</xdr:col>
      <xdr:colOff>510540</xdr:colOff>
      <xdr:row>29</xdr:row>
      <xdr:rowOff>144780</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13</xdr:col>
      <xdr:colOff>562768</xdr:colOff>
      <xdr:row>19</xdr:row>
      <xdr:rowOff>64585</xdr:rowOff>
    </xdr:from>
    <xdr:ext cx="1556708" cy="374141"/>
    <xdr:sp macro="" textlink="">
      <xdr:nvSpPr>
        <xdr:cNvPr id="2" name="Rectangle 1"/>
        <xdr:cNvSpPr/>
      </xdr:nvSpPr>
      <xdr:spPr>
        <a:xfrm>
          <a:off x="8487568" y="3539305"/>
          <a:ext cx="1556708" cy="374141"/>
        </a:xfrm>
        <a:prstGeom prst="rect">
          <a:avLst/>
        </a:prstGeom>
        <a:noFill/>
      </xdr:spPr>
      <xdr:txBody>
        <a:bodyPr wrap="none" lIns="91440" tIns="45720" rIns="91440" bIns="45720">
          <a:sp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CASH</a:t>
          </a:r>
          <a:r>
            <a:rPr lang="en-US" sz="1800" b="0" cap="none" spc="0" baseline="0">
              <a:ln w="0"/>
              <a:solidFill>
                <a:schemeClr val="tx1"/>
              </a:solidFill>
              <a:effectLst>
                <a:outerShdw blurRad="38100" dist="19050" dir="2700000" algn="tl" rotWithShape="0">
                  <a:schemeClr val="dk1">
                    <a:alpha val="40000"/>
                  </a:schemeClr>
                </a:outerShdw>
              </a:effectLst>
            </a:rPr>
            <a:t> VS CARD</a:t>
          </a: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20</xdr:col>
      <xdr:colOff>40146</xdr:colOff>
      <xdr:row>19</xdr:row>
      <xdr:rowOff>163645</xdr:rowOff>
    </xdr:from>
    <xdr:ext cx="2939273" cy="374141"/>
    <xdr:sp macro="" textlink="">
      <xdr:nvSpPr>
        <xdr:cNvPr id="3" name="Rectangle 2"/>
        <xdr:cNvSpPr/>
      </xdr:nvSpPr>
      <xdr:spPr>
        <a:xfrm>
          <a:off x="12232146" y="3638365"/>
          <a:ext cx="2939273" cy="374141"/>
        </a:xfrm>
        <a:prstGeom prst="rect">
          <a:avLst/>
        </a:prstGeom>
        <a:noFill/>
      </xdr:spPr>
      <xdr:txBody>
        <a:bodyPr wrap="square" lIns="91440" tIns="45720" rIns="91440" bIns="45720">
          <a:sp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MONTHLY</a:t>
          </a:r>
          <a:r>
            <a:rPr lang="en-US" sz="1800" b="0" cap="none" spc="0" baseline="0">
              <a:ln w="0"/>
              <a:solidFill>
                <a:schemeClr val="tx1"/>
              </a:solidFill>
              <a:effectLst>
                <a:outerShdw blurRad="38100" dist="19050" dir="2700000" algn="tl" rotWithShape="0">
                  <a:schemeClr val="dk1">
                    <a:alpha val="40000"/>
                  </a:schemeClr>
                </a:outerShdw>
              </a:effectLst>
            </a:rPr>
            <a:t> SALES </a:t>
          </a: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22</xdr:col>
      <xdr:colOff>416052</xdr:colOff>
      <xdr:row>5</xdr:row>
      <xdr:rowOff>178885</xdr:rowOff>
    </xdr:from>
    <xdr:ext cx="2246384" cy="405432"/>
    <xdr:sp macro="" textlink="">
      <xdr:nvSpPr>
        <xdr:cNvPr id="25" name="Rectangle 24"/>
        <xdr:cNvSpPr/>
      </xdr:nvSpPr>
      <xdr:spPr>
        <a:xfrm>
          <a:off x="13827252" y="1093285"/>
          <a:ext cx="2246384" cy="405432"/>
        </a:xfrm>
        <a:prstGeom prst="rect">
          <a:avLst/>
        </a:prstGeom>
        <a:noFill/>
      </xdr:spPr>
      <xdr:txBody>
        <a:bodyPr wrap="none" lIns="91440" tIns="45720" rIns="91440" bIns="45720">
          <a:sp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COFFEE WISE SALES</a:t>
          </a:r>
        </a:p>
      </xdr:txBody>
    </xdr:sp>
    <xdr:clientData/>
  </xdr:oneCellAnchor>
  <xdr:oneCellAnchor>
    <xdr:from>
      <xdr:col>6</xdr:col>
      <xdr:colOff>324232</xdr:colOff>
      <xdr:row>6</xdr:row>
      <xdr:rowOff>34105</xdr:rowOff>
    </xdr:from>
    <xdr:ext cx="2140458" cy="468013"/>
    <xdr:sp macro="" textlink="">
      <xdr:nvSpPr>
        <xdr:cNvPr id="26" name="Rectangle 25"/>
        <xdr:cNvSpPr/>
      </xdr:nvSpPr>
      <xdr:spPr>
        <a:xfrm>
          <a:off x="3981832" y="1131385"/>
          <a:ext cx="2140458" cy="468013"/>
        </a:xfrm>
        <a:prstGeom prst="rect">
          <a:avLst/>
        </a:prstGeom>
        <a:noFill/>
      </xdr:spPr>
      <xdr:txBody>
        <a:bodyPr wrap="none" lIns="91440" tIns="45720" rIns="91440" bIns="45720">
          <a:spAutoFit/>
        </a:bodyPr>
        <a:lstStyle/>
        <a:p>
          <a:pPr algn="ctr"/>
          <a:r>
            <a:rPr lang="en-US" sz="2400" b="0" cap="none" spc="0">
              <a:ln w="0"/>
              <a:solidFill>
                <a:schemeClr val="tx1"/>
              </a:solidFill>
              <a:effectLst>
                <a:outerShdw blurRad="38100" dist="19050" dir="2700000" algn="tl" rotWithShape="0">
                  <a:schemeClr val="dk1">
                    <a:alpha val="40000"/>
                  </a:schemeClr>
                </a:outerShdw>
              </a:effectLst>
            </a:rPr>
            <a:t>HOUR</a:t>
          </a:r>
          <a:r>
            <a:rPr lang="en-US" sz="2400" b="0" cap="none" spc="0" baseline="0">
              <a:ln w="0"/>
              <a:solidFill>
                <a:schemeClr val="tx1"/>
              </a:solidFill>
              <a:effectLst>
                <a:outerShdw blurRad="38100" dist="19050" dir="2700000" algn="tl" rotWithShape="0">
                  <a:schemeClr val="dk1">
                    <a:alpha val="40000"/>
                  </a:schemeClr>
                </a:outerShdw>
              </a:effectLst>
            </a:rPr>
            <a:t> VS SALES</a:t>
          </a:r>
          <a:endParaRPr lang="en-US" sz="2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14</xdr:col>
      <xdr:colOff>246918</xdr:colOff>
      <xdr:row>6</xdr:row>
      <xdr:rowOff>16620</xdr:rowOff>
    </xdr:from>
    <xdr:ext cx="2417007" cy="390171"/>
    <xdr:sp macro="" textlink="">
      <xdr:nvSpPr>
        <xdr:cNvPr id="14" name="Rectangle 13"/>
        <xdr:cNvSpPr/>
      </xdr:nvSpPr>
      <xdr:spPr>
        <a:xfrm>
          <a:off x="8781318" y="1113900"/>
          <a:ext cx="2417007" cy="390171"/>
        </a:xfrm>
        <a:prstGeom prst="rect">
          <a:avLst/>
        </a:prstGeom>
        <a:noFill/>
      </xdr:spPr>
      <xdr:txBody>
        <a:bodyPr wrap="none" lIns="91440" tIns="45720" rIns="91440" bIns="45720">
          <a:sp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DAILY</a:t>
          </a:r>
          <a:r>
            <a:rPr lang="en-US" sz="2000" b="0" cap="none" spc="0" baseline="0">
              <a:ln w="0"/>
              <a:solidFill>
                <a:schemeClr val="tx1"/>
              </a:solidFill>
              <a:effectLst>
                <a:outerShdw blurRad="38100" dist="19050" dir="2700000" algn="tl" rotWithShape="0">
                  <a:schemeClr val="dk1">
                    <a:alpha val="40000"/>
                  </a:schemeClr>
                </a:outerShdw>
              </a:effectLst>
            </a:rPr>
            <a:t> SALES TREND</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005.547361342593" createdVersion="5" refreshedVersion="5" minRefreshableVersion="3" recordCount="1133">
  <cacheSource type="worksheet">
    <worksheetSource name="salesdata"/>
  </cacheSource>
  <cacheFields count="9">
    <cacheField name="date" numFmtId="14">
      <sharedItems containsSemiMixedTypes="0" containsNonDate="0" containsDate="1" containsString="0" minDate="2024-03-01T00:00:00" maxDate="2024-08-01T00:00:00" count="15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2T00:00:00"/>
        <d v="2024-05-03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sharedItems>
    </cacheField>
    <cacheField name="year" numFmtId="1">
      <sharedItems containsSemiMixedTypes="0" containsString="0" containsNumber="1" containsInteger="1" minValue="2024" maxValue="2024" count="1">
        <n v="2024"/>
      </sharedItems>
    </cacheField>
    <cacheField name="MONTH" numFmtId="1">
      <sharedItems containsSemiMixedTypes="0" containsString="0" containsNumber="1" containsInteger="1" minValue="3" maxValue="7" count="5">
        <n v="3"/>
        <n v="4"/>
        <n v="5"/>
        <n v="6"/>
        <n v="7"/>
      </sharedItems>
    </cacheField>
    <cacheField name="datetime" numFmtId="2">
      <sharedItems containsSemiMixedTypes="0" containsString="0" containsNumber="1" minValue="45352.427668055556" maxValue="45504.91338622685"/>
    </cacheField>
    <cacheField name="HOUR" numFmtId="1">
      <sharedItems containsSemiMixedTypes="0" containsString="0" containsNumber="1" containsInteger="1" minValue="7" maxValue="22" count="16">
        <n v="10"/>
        <n v="12"/>
        <n v="13"/>
        <n v="15"/>
        <n v="16"/>
        <n v="18"/>
        <n v="19"/>
        <n v="11"/>
        <n v="14"/>
        <n v="17"/>
        <n v="9"/>
        <n v="7"/>
        <n v="20"/>
        <n v="8"/>
        <n v="22"/>
        <n v="21"/>
      </sharedItems>
    </cacheField>
    <cacheField name="cash_type" numFmtId="0">
      <sharedItems count="2">
        <s v="card"/>
        <s v="cash"/>
      </sharedItems>
    </cacheField>
    <cacheField name="card" numFmtId="0">
      <sharedItems containsBlank="1"/>
    </cacheField>
    <cacheField name="money" numFmtId="164">
      <sharedItems containsSemiMixedTypes="0" containsString="0" containsNumber="1" minValue="18.12" maxValue="40" count="16">
        <n v="38.700000000000003"/>
        <n v="28.9"/>
        <n v="33.799999999999997"/>
        <n v="40"/>
        <n v="24"/>
        <n v="35"/>
        <n v="30"/>
        <n v="25"/>
        <n v="32.82"/>
        <n v="39"/>
        <n v="37.72"/>
        <n v="27.92"/>
        <n v="29"/>
        <n v="34"/>
        <n v="23.02"/>
        <n v="18.12"/>
      </sharedItems>
    </cacheField>
    <cacheField name="coffee_name" numFmtId="0">
      <sharedItems count="8">
        <s v="Latte"/>
        <s v="Hot Chocolate"/>
        <s v="Americano"/>
        <s v="Americano with Milk"/>
        <s v="Cocoa"/>
        <s v="Cortado"/>
        <s v="Espresso"/>
        <s v="Cappuccino"/>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133">
  <r>
    <x v="0"/>
    <x v="0"/>
    <x v="0"/>
    <n v="45352.427668055556"/>
    <x v="0"/>
    <x v="0"/>
    <s v="ANON-0000-0000-0001"/>
    <x v="0"/>
    <x v="0"/>
  </r>
  <r>
    <x v="0"/>
    <x v="0"/>
    <x v="0"/>
    <n v="45352.513455312503"/>
    <x v="1"/>
    <x v="0"/>
    <s v="ANON-0000-0000-0002"/>
    <x v="0"/>
    <x v="1"/>
  </r>
  <r>
    <x v="0"/>
    <x v="0"/>
    <x v="0"/>
    <n v="45352.514098252315"/>
    <x v="1"/>
    <x v="0"/>
    <s v="ANON-0000-0000-0002"/>
    <x v="0"/>
    <x v="1"/>
  </r>
  <r>
    <x v="0"/>
    <x v="0"/>
    <x v="0"/>
    <n v="45352.573993124999"/>
    <x v="2"/>
    <x v="0"/>
    <s v="ANON-0000-0000-0003"/>
    <x v="1"/>
    <x v="2"/>
  </r>
  <r>
    <x v="0"/>
    <x v="0"/>
    <x v="0"/>
    <n v="45352.575169282405"/>
    <x v="2"/>
    <x v="0"/>
    <s v="ANON-0000-0000-0004"/>
    <x v="0"/>
    <x v="0"/>
  </r>
  <r>
    <x v="0"/>
    <x v="0"/>
    <x v="0"/>
    <n v="45352.65263571759"/>
    <x v="3"/>
    <x v="0"/>
    <s v="ANON-0000-0000-0005"/>
    <x v="2"/>
    <x v="3"/>
  </r>
  <r>
    <x v="0"/>
    <x v="0"/>
    <x v="0"/>
    <n v="45352.679893009263"/>
    <x v="4"/>
    <x v="0"/>
    <s v="ANON-0000-0000-0006"/>
    <x v="0"/>
    <x v="1"/>
  </r>
  <r>
    <x v="0"/>
    <x v="0"/>
    <x v="0"/>
    <n v="45352.777124768516"/>
    <x v="5"/>
    <x v="0"/>
    <s v="ANON-0000-0000-0007"/>
    <x v="2"/>
    <x v="3"/>
  </r>
  <r>
    <x v="0"/>
    <x v="0"/>
    <x v="0"/>
    <n v="45352.806964837961"/>
    <x v="6"/>
    <x v="0"/>
    <s v="ANON-0000-0000-0008"/>
    <x v="0"/>
    <x v="4"/>
  </r>
  <r>
    <x v="0"/>
    <x v="0"/>
    <x v="0"/>
    <n v="45352.807822766204"/>
    <x v="6"/>
    <x v="0"/>
    <s v="ANON-0000-0000-0008"/>
    <x v="2"/>
    <x v="3"/>
  </r>
  <r>
    <x v="0"/>
    <x v="0"/>
    <x v="0"/>
    <n v="45352.812006840279"/>
    <x v="6"/>
    <x v="0"/>
    <s v="ANON-0000-0000-0009"/>
    <x v="2"/>
    <x v="3"/>
  </r>
  <r>
    <x v="1"/>
    <x v="0"/>
    <x v="0"/>
    <n v="45353.432024965281"/>
    <x v="0"/>
    <x v="0"/>
    <s v="ANON-0000-0000-0010"/>
    <x v="1"/>
    <x v="2"/>
  </r>
  <r>
    <x v="1"/>
    <x v="0"/>
    <x v="0"/>
    <n v="45353.437912824076"/>
    <x v="0"/>
    <x v="1"/>
    <m/>
    <x v="3"/>
    <x v="0"/>
  </r>
  <r>
    <x v="1"/>
    <x v="0"/>
    <x v="0"/>
    <n v="45353.445616307872"/>
    <x v="0"/>
    <x v="0"/>
    <s v="ANON-0000-0000-0011"/>
    <x v="2"/>
    <x v="3"/>
  </r>
  <r>
    <x v="1"/>
    <x v="0"/>
    <x v="0"/>
    <n v="45353.499831990739"/>
    <x v="7"/>
    <x v="0"/>
    <s v="ANON-0000-0000-0012"/>
    <x v="2"/>
    <x v="3"/>
  </r>
  <r>
    <x v="1"/>
    <x v="0"/>
    <x v="0"/>
    <n v="45353.610133506947"/>
    <x v="8"/>
    <x v="0"/>
    <s v="ANON-0000-0000-0013"/>
    <x v="1"/>
    <x v="2"/>
  </r>
  <r>
    <x v="1"/>
    <x v="0"/>
    <x v="0"/>
    <n v="45353.692644386574"/>
    <x v="4"/>
    <x v="0"/>
    <s v="ANON-0000-0000-0014"/>
    <x v="2"/>
    <x v="3"/>
  </r>
  <r>
    <x v="1"/>
    <x v="0"/>
    <x v="0"/>
    <n v="45353.732580659722"/>
    <x v="9"/>
    <x v="0"/>
    <s v="ANON-0000-0000-0004"/>
    <x v="1"/>
    <x v="2"/>
  </r>
  <r>
    <x v="2"/>
    <x v="0"/>
    <x v="0"/>
    <n v="45354.424120150463"/>
    <x v="0"/>
    <x v="1"/>
    <m/>
    <x v="3"/>
    <x v="0"/>
  </r>
  <r>
    <x v="2"/>
    <x v="0"/>
    <x v="0"/>
    <n v="45354.435631493056"/>
    <x v="0"/>
    <x v="0"/>
    <s v="ANON-0000-0000-0015"/>
    <x v="0"/>
    <x v="0"/>
  </r>
  <r>
    <x v="2"/>
    <x v="0"/>
    <x v="0"/>
    <n v="45354.481899513892"/>
    <x v="7"/>
    <x v="0"/>
    <s v="ANON-0000-0000-0016"/>
    <x v="1"/>
    <x v="5"/>
  </r>
  <r>
    <x v="2"/>
    <x v="0"/>
    <x v="0"/>
    <n v="45354.518704837959"/>
    <x v="1"/>
    <x v="0"/>
    <s v="ANON-0000-0000-0012"/>
    <x v="1"/>
    <x v="2"/>
  </r>
  <r>
    <x v="2"/>
    <x v="0"/>
    <x v="0"/>
    <n v="45354.548337048611"/>
    <x v="2"/>
    <x v="0"/>
    <s v="ANON-0000-0000-0017"/>
    <x v="0"/>
    <x v="1"/>
  </r>
  <r>
    <x v="2"/>
    <x v="0"/>
    <x v="0"/>
    <n v="45354.712966099534"/>
    <x v="9"/>
    <x v="0"/>
    <s v="ANON-0000-0000-0018"/>
    <x v="0"/>
    <x v="4"/>
  </r>
  <r>
    <x v="2"/>
    <x v="0"/>
    <x v="0"/>
    <n v="45354.714420081022"/>
    <x v="9"/>
    <x v="0"/>
    <s v="ANON-0000-0000-0019"/>
    <x v="1"/>
    <x v="5"/>
  </r>
  <r>
    <x v="2"/>
    <x v="0"/>
    <x v="0"/>
    <n v="45354.752353807868"/>
    <x v="5"/>
    <x v="0"/>
    <s v="ANON-0000-0000-0020"/>
    <x v="2"/>
    <x v="3"/>
  </r>
  <r>
    <x v="2"/>
    <x v="0"/>
    <x v="0"/>
    <n v="45354.753101226852"/>
    <x v="5"/>
    <x v="0"/>
    <s v="ANON-0000-0000-0020"/>
    <x v="2"/>
    <x v="3"/>
  </r>
  <r>
    <x v="2"/>
    <x v="0"/>
    <x v="0"/>
    <n v="45354.755612951391"/>
    <x v="5"/>
    <x v="0"/>
    <s v="ANON-0000-0000-0020"/>
    <x v="0"/>
    <x v="1"/>
  </r>
  <r>
    <x v="3"/>
    <x v="0"/>
    <x v="0"/>
    <n v="45355.41935178241"/>
    <x v="0"/>
    <x v="0"/>
    <s v="ANON-0000-0000-0001"/>
    <x v="0"/>
    <x v="0"/>
  </r>
  <r>
    <x v="3"/>
    <x v="0"/>
    <x v="0"/>
    <n v="45355.454756458334"/>
    <x v="0"/>
    <x v="0"/>
    <s v="ANON-0000-0000-0021"/>
    <x v="0"/>
    <x v="0"/>
  </r>
  <r>
    <x v="3"/>
    <x v="0"/>
    <x v="0"/>
    <n v="45355.461992870369"/>
    <x v="7"/>
    <x v="0"/>
    <s v="ANON-0000-0000-0012"/>
    <x v="2"/>
    <x v="3"/>
  </r>
  <r>
    <x v="3"/>
    <x v="0"/>
    <x v="0"/>
    <n v="45355.586547847219"/>
    <x v="8"/>
    <x v="0"/>
    <s v="ANON-0000-0000-0022"/>
    <x v="4"/>
    <x v="6"/>
  </r>
  <r>
    <x v="4"/>
    <x v="0"/>
    <x v="0"/>
    <n v="45356.416581608799"/>
    <x v="10"/>
    <x v="0"/>
    <s v="ANON-0000-0000-0001"/>
    <x v="0"/>
    <x v="0"/>
  </r>
  <r>
    <x v="4"/>
    <x v="0"/>
    <x v="0"/>
    <n v="45356.60759216435"/>
    <x v="8"/>
    <x v="0"/>
    <s v="ANON-0000-0000-0023"/>
    <x v="0"/>
    <x v="0"/>
  </r>
  <r>
    <x v="4"/>
    <x v="0"/>
    <x v="0"/>
    <n v="45356.732014386573"/>
    <x v="9"/>
    <x v="0"/>
    <s v="ANON-0000-0000-0024"/>
    <x v="0"/>
    <x v="0"/>
  </r>
  <r>
    <x v="4"/>
    <x v="0"/>
    <x v="0"/>
    <n v="45356.732928483798"/>
    <x v="9"/>
    <x v="0"/>
    <s v="ANON-0000-0000-0025"/>
    <x v="0"/>
    <x v="1"/>
  </r>
  <r>
    <x v="4"/>
    <x v="0"/>
    <x v="0"/>
    <n v="45356.733664016203"/>
    <x v="9"/>
    <x v="0"/>
    <s v="ANON-0000-0000-0026"/>
    <x v="0"/>
    <x v="4"/>
  </r>
  <r>
    <x v="4"/>
    <x v="0"/>
    <x v="0"/>
    <n v="45356.734185868052"/>
    <x v="9"/>
    <x v="0"/>
    <s v="ANON-0000-0000-0027"/>
    <x v="0"/>
    <x v="1"/>
  </r>
  <r>
    <x v="4"/>
    <x v="0"/>
    <x v="0"/>
    <n v="45356.734830486108"/>
    <x v="9"/>
    <x v="0"/>
    <s v="ANON-0000-0000-0009"/>
    <x v="0"/>
    <x v="1"/>
  </r>
  <r>
    <x v="4"/>
    <x v="0"/>
    <x v="0"/>
    <n v="45356.747404814814"/>
    <x v="9"/>
    <x v="0"/>
    <s v="ANON-0000-0000-0028"/>
    <x v="1"/>
    <x v="5"/>
  </r>
  <r>
    <x v="4"/>
    <x v="0"/>
    <x v="0"/>
    <n v="45356.751056041663"/>
    <x v="5"/>
    <x v="0"/>
    <s v="ANON-0000-0000-0028"/>
    <x v="0"/>
    <x v="1"/>
  </r>
  <r>
    <x v="5"/>
    <x v="0"/>
    <x v="0"/>
    <n v="45357.521146863422"/>
    <x v="1"/>
    <x v="1"/>
    <m/>
    <x v="5"/>
    <x v="3"/>
  </r>
  <r>
    <x v="5"/>
    <x v="0"/>
    <x v="0"/>
    <n v="45357.558422071757"/>
    <x v="2"/>
    <x v="0"/>
    <s v="ANON-0000-0000-0012"/>
    <x v="1"/>
    <x v="2"/>
  </r>
  <r>
    <x v="5"/>
    <x v="0"/>
    <x v="0"/>
    <n v="45357.559193877314"/>
    <x v="2"/>
    <x v="0"/>
    <s v="ANON-0000-0000-0012"/>
    <x v="1"/>
    <x v="5"/>
  </r>
  <r>
    <x v="5"/>
    <x v="0"/>
    <x v="0"/>
    <n v="45357.619464826392"/>
    <x v="8"/>
    <x v="0"/>
    <s v="ANON-0000-0000-0029"/>
    <x v="0"/>
    <x v="7"/>
  </r>
  <r>
    <x v="5"/>
    <x v="0"/>
    <x v="0"/>
    <n v="45357.620351203703"/>
    <x v="8"/>
    <x v="0"/>
    <s v="ANON-0000-0000-0029"/>
    <x v="0"/>
    <x v="7"/>
  </r>
  <r>
    <x v="6"/>
    <x v="0"/>
    <x v="0"/>
    <n v="45358.42290445602"/>
    <x v="0"/>
    <x v="1"/>
    <m/>
    <x v="3"/>
    <x v="0"/>
  </r>
  <r>
    <x v="6"/>
    <x v="0"/>
    <x v="0"/>
    <n v="45358.429635914355"/>
    <x v="0"/>
    <x v="0"/>
    <s v="ANON-0000-0000-0030"/>
    <x v="0"/>
    <x v="1"/>
  </r>
  <r>
    <x v="6"/>
    <x v="0"/>
    <x v="0"/>
    <n v="45358.461099259257"/>
    <x v="7"/>
    <x v="0"/>
    <s v="ANON-0000-0000-0031"/>
    <x v="0"/>
    <x v="0"/>
  </r>
  <r>
    <x v="6"/>
    <x v="0"/>
    <x v="0"/>
    <n v="45358.476203437502"/>
    <x v="7"/>
    <x v="1"/>
    <m/>
    <x v="3"/>
    <x v="0"/>
  </r>
  <r>
    <x v="6"/>
    <x v="0"/>
    <x v="0"/>
    <n v="45358.653039421297"/>
    <x v="3"/>
    <x v="0"/>
    <s v="ANON-0000-0000-0032"/>
    <x v="1"/>
    <x v="2"/>
  </r>
  <r>
    <x v="6"/>
    <x v="0"/>
    <x v="0"/>
    <n v="45358.65380537037"/>
    <x v="3"/>
    <x v="0"/>
    <s v="ANON-0000-0000-0033"/>
    <x v="2"/>
    <x v="3"/>
  </r>
  <r>
    <x v="7"/>
    <x v="0"/>
    <x v="0"/>
    <n v="45359.44075559028"/>
    <x v="0"/>
    <x v="0"/>
    <s v="ANON-0000-0000-0012"/>
    <x v="1"/>
    <x v="5"/>
  </r>
  <r>
    <x v="7"/>
    <x v="0"/>
    <x v="0"/>
    <n v="45359.515609409726"/>
    <x v="1"/>
    <x v="0"/>
    <s v="ANON-0000-0000-0034"/>
    <x v="0"/>
    <x v="7"/>
  </r>
  <r>
    <x v="7"/>
    <x v="0"/>
    <x v="0"/>
    <n v="45359.578495856484"/>
    <x v="2"/>
    <x v="0"/>
    <s v="ANON-0000-0000-0035"/>
    <x v="1"/>
    <x v="2"/>
  </r>
  <r>
    <x v="7"/>
    <x v="0"/>
    <x v="0"/>
    <n v="45359.61403571759"/>
    <x v="8"/>
    <x v="0"/>
    <s v="ANON-0000-0000-0012"/>
    <x v="1"/>
    <x v="2"/>
  </r>
  <r>
    <x v="7"/>
    <x v="0"/>
    <x v="0"/>
    <n v="45359.614711203707"/>
    <x v="8"/>
    <x v="0"/>
    <s v="ANON-0000-0000-0033"/>
    <x v="1"/>
    <x v="2"/>
  </r>
  <r>
    <x v="7"/>
    <x v="0"/>
    <x v="0"/>
    <n v="45359.615406886573"/>
    <x v="8"/>
    <x v="0"/>
    <s v="ANON-0000-0000-0012"/>
    <x v="2"/>
    <x v="3"/>
  </r>
  <r>
    <x v="7"/>
    <x v="0"/>
    <x v="0"/>
    <n v="45359.790178831019"/>
    <x v="5"/>
    <x v="0"/>
    <s v="ANON-0000-0000-0036"/>
    <x v="0"/>
    <x v="0"/>
  </r>
  <r>
    <x v="7"/>
    <x v="0"/>
    <x v="0"/>
    <n v="45359.791260891201"/>
    <x v="5"/>
    <x v="0"/>
    <s v="ANON-0000-0000-0037"/>
    <x v="0"/>
    <x v="0"/>
  </r>
  <r>
    <x v="8"/>
    <x v="0"/>
    <x v="0"/>
    <n v="45360.492792731478"/>
    <x v="7"/>
    <x v="1"/>
    <m/>
    <x v="3"/>
    <x v="1"/>
  </r>
  <r>
    <x v="8"/>
    <x v="0"/>
    <x v="0"/>
    <n v="45360.50365230324"/>
    <x v="1"/>
    <x v="0"/>
    <s v="ANON-0000-0000-0038"/>
    <x v="4"/>
    <x v="6"/>
  </r>
  <r>
    <x v="8"/>
    <x v="0"/>
    <x v="0"/>
    <n v="45360.505304108796"/>
    <x v="1"/>
    <x v="0"/>
    <s v="ANON-0000-0000-0039"/>
    <x v="1"/>
    <x v="2"/>
  </r>
  <r>
    <x v="8"/>
    <x v="0"/>
    <x v="0"/>
    <n v="45360.506802245371"/>
    <x v="1"/>
    <x v="0"/>
    <s v="ANON-0000-0000-0012"/>
    <x v="0"/>
    <x v="7"/>
  </r>
  <r>
    <x v="8"/>
    <x v="0"/>
    <x v="0"/>
    <n v="45360.509068530089"/>
    <x v="1"/>
    <x v="0"/>
    <s v="ANON-0000-0000-0040"/>
    <x v="1"/>
    <x v="2"/>
  </r>
  <r>
    <x v="8"/>
    <x v="0"/>
    <x v="0"/>
    <n v="45360.510028449076"/>
    <x v="1"/>
    <x v="0"/>
    <s v="ANON-0000-0000-0040"/>
    <x v="1"/>
    <x v="2"/>
  </r>
  <r>
    <x v="8"/>
    <x v="0"/>
    <x v="0"/>
    <n v="45360.548173946758"/>
    <x v="2"/>
    <x v="0"/>
    <s v="ANON-0000-0000-0041"/>
    <x v="0"/>
    <x v="0"/>
  </r>
  <r>
    <x v="8"/>
    <x v="0"/>
    <x v="0"/>
    <n v="45360.570210266204"/>
    <x v="2"/>
    <x v="0"/>
    <s v="ANON-0000-0000-0042"/>
    <x v="2"/>
    <x v="3"/>
  </r>
  <r>
    <x v="8"/>
    <x v="0"/>
    <x v="0"/>
    <n v="45360.578592685182"/>
    <x v="2"/>
    <x v="0"/>
    <s v="ANON-0000-0000-0043"/>
    <x v="1"/>
    <x v="5"/>
  </r>
  <r>
    <x v="8"/>
    <x v="0"/>
    <x v="0"/>
    <n v="45360.579592916663"/>
    <x v="2"/>
    <x v="0"/>
    <s v="ANON-0000-0000-0043"/>
    <x v="0"/>
    <x v="7"/>
  </r>
  <r>
    <x v="8"/>
    <x v="0"/>
    <x v="0"/>
    <n v="45360.588910057872"/>
    <x v="8"/>
    <x v="0"/>
    <s v="ANON-0000-0000-0009"/>
    <x v="2"/>
    <x v="3"/>
  </r>
  <r>
    <x v="8"/>
    <x v="0"/>
    <x v="0"/>
    <n v="45360.602000844905"/>
    <x v="8"/>
    <x v="0"/>
    <s v="ANON-0000-0000-0044"/>
    <x v="0"/>
    <x v="1"/>
  </r>
  <r>
    <x v="8"/>
    <x v="0"/>
    <x v="0"/>
    <n v="45360.804138564818"/>
    <x v="6"/>
    <x v="0"/>
    <s v="ANON-0000-0000-0009"/>
    <x v="0"/>
    <x v="7"/>
  </r>
  <r>
    <x v="8"/>
    <x v="0"/>
    <x v="0"/>
    <n v="45360.804977824075"/>
    <x v="6"/>
    <x v="0"/>
    <s v="ANON-0000-0000-0009"/>
    <x v="0"/>
    <x v="1"/>
  </r>
  <r>
    <x v="9"/>
    <x v="0"/>
    <x v="0"/>
    <n v="45361.322436782408"/>
    <x v="11"/>
    <x v="1"/>
    <m/>
    <x v="6"/>
    <x v="2"/>
  </r>
  <r>
    <x v="9"/>
    <x v="0"/>
    <x v="0"/>
    <n v="45361.323257418982"/>
    <x v="11"/>
    <x v="1"/>
    <m/>
    <x v="5"/>
    <x v="3"/>
  </r>
  <r>
    <x v="9"/>
    <x v="0"/>
    <x v="0"/>
    <n v="45361.420867592591"/>
    <x v="0"/>
    <x v="1"/>
    <m/>
    <x v="3"/>
    <x v="0"/>
  </r>
  <r>
    <x v="9"/>
    <x v="0"/>
    <x v="0"/>
    <n v="45361.471768101852"/>
    <x v="7"/>
    <x v="0"/>
    <s v="ANON-0000-0000-0045"/>
    <x v="4"/>
    <x v="6"/>
  </r>
  <r>
    <x v="9"/>
    <x v="0"/>
    <x v="0"/>
    <n v="45361.74378527778"/>
    <x v="9"/>
    <x v="1"/>
    <m/>
    <x v="5"/>
    <x v="3"/>
  </r>
  <r>
    <x v="9"/>
    <x v="0"/>
    <x v="0"/>
    <n v="45361.815283310185"/>
    <x v="6"/>
    <x v="0"/>
    <s v="ANON-0000-0000-0046"/>
    <x v="0"/>
    <x v="0"/>
  </r>
  <r>
    <x v="9"/>
    <x v="0"/>
    <x v="0"/>
    <n v="45361.816605462962"/>
    <x v="6"/>
    <x v="0"/>
    <s v="ANON-0000-0000-0046"/>
    <x v="1"/>
    <x v="5"/>
  </r>
  <r>
    <x v="10"/>
    <x v="0"/>
    <x v="0"/>
    <n v="45362.429707453703"/>
    <x v="0"/>
    <x v="1"/>
    <m/>
    <x v="3"/>
    <x v="0"/>
  </r>
  <r>
    <x v="10"/>
    <x v="0"/>
    <x v="0"/>
    <n v="45362.475173865743"/>
    <x v="7"/>
    <x v="1"/>
    <m/>
    <x v="3"/>
    <x v="7"/>
  </r>
  <r>
    <x v="10"/>
    <x v="0"/>
    <x v="0"/>
    <n v="45362.47559681713"/>
    <x v="7"/>
    <x v="1"/>
    <m/>
    <x v="6"/>
    <x v="5"/>
  </r>
  <r>
    <x v="10"/>
    <x v="0"/>
    <x v="0"/>
    <n v="45362.476900706017"/>
    <x v="7"/>
    <x v="1"/>
    <m/>
    <x v="6"/>
    <x v="2"/>
  </r>
  <r>
    <x v="10"/>
    <x v="0"/>
    <x v="0"/>
    <n v="45362.481235891202"/>
    <x v="7"/>
    <x v="0"/>
    <s v="ANON-0000-0000-0035"/>
    <x v="0"/>
    <x v="7"/>
  </r>
  <r>
    <x v="10"/>
    <x v="0"/>
    <x v="0"/>
    <n v="45362.68363890046"/>
    <x v="4"/>
    <x v="0"/>
    <s v="ANON-0000-0000-0047"/>
    <x v="1"/>
    <x v="2"/>
  </r>
  <r>
    <x v="10"/>
    <x v="0"/>
    <x v="0"/>
    <n v="45362.684556296299"/>
    <x v="4"/>
    <x v="0"/>
    <s v="ANON-0000-0000-0047"/>
    <x v="0"/>
    <x v="0"/>
  </r>
  <r>
    <x v="10"/>
    <x v="0"/>
    <x v="0"/>
    <n v="45362.701963055559"/>
    <x v="4"/>
    <x v="0"/>
    <s v="ANON-0000-0000-0048"/>
    <x v="1"/>
    <x v="5"/>
  </r>
  <r>
    <x v="11"/>
    <x v="0"/>
    <x v="0"/>
    <n v="45363.427086770833"/>
    <x v="0"/>
    <x v="1"/>
    <m/>
    <x v="3"/>
    <x v="0"/>
  </r>
  <r>
    <x v="11"/>
    <x v="0"/>
    <x v="0"/>
    <n v="45363.427483136576"/>
    <x v="0"/>
    <x v="0"/>
    <s v="ANON-0000-0000-0033"/>
    <x v="1"/>
    <x v="2"/>
  </r>
  <r>
    <x v="11"/>
    <x v="0"/>
    <x v="0"/>
    <n v="45363.428065810185"/>
    <x v="0"/>
    <x v="0"/>
    <s v="ANON-0000-0000-0033"/>
    <x v="1"/>
    <x v="5"/>
  </r>
  <r>
    <x v="11"/>
    <x v="0"/>
    <x v="0"/>
    <n v="45363.472750370369"/>
    <x v="7"/>
    <x v="0"/>
    <s v="ANON-0000-0000-0049"/>
    <x v="0"/>
    <x v="1"/>
  </r>
  <r>
    <x v="11"/>
    <x v="0"/>
    <x v="0"/>
    <n v="45363.532213831022"/>
    <x v="1"/>
    <x v="0"/>
    <s v="ANON-0000-0000-0004"/>
    <x v="2"/>
    <x v="3"/>
  </r>
  <r>
    <x v="11"/>
    <x v="0"/>
    <x v="0"/>
    <n v="45363.532940127312"/>
    <x v="1"/>
    <x v="0"/>
    <s v="ANON-0000-0000-0004"/>
    <x v="1"/>
    <x v="2"/>
  </r>
  <r>
    <x v="11"/>
    <x v="0"/>
    <x v="0"/>
    <n v="45363.677584780089"/>
    <x v="4"/>
    <x v="0"/>
    <s v="ANON-0000-0000-0050"/>
    <x v="1"/>
    <x v="2"/>
  </r>
  <r>
    <x v="12"/>
    <x v="0"/>
    <x v="0"/>
    <n v="45364.462998124996"/>
    <x v="7"/>
    <x v="0"/>
    <s v="ANON-0000-0000-0048"/>
    <x v="0"/>
    <x v="1"/>
  </r>
  <r>
    <x v="12"/>
    <x v="0"/>
    <x v="0"/>
    <n v="45364.491860567126"/>
    <x v="7"/>
    <x v="0"/>
    <s v="ANON-0000-0000-0004"/>
    <x v="1"/>
    <x v="2"/>
  </r>
  <r>
    <x v="12"/>
    <x v="0"/>
    <x v="0"/>
    <n v="45364.512573333333"/>
    <x v="1"/>
    <x v="0"/>
    <s v="ANON-0000-0000-0051"/>
    <x v="1"/>
    <x v="2"/>
  </r>
  <r>
    <x v="12"/>
    <x v="0"/>
    <x v="0"/>
    <n v="45364.513253796293"/>
    <x v="1"/>
    <x v="0"/>
    <s v="ANON-0000-0000-0051"/>
    <x v="1"/>
    <x v="2"/>
  </r>
  <r>
    <x v="12"/>
    <x v="0"/>
    <x v="0"/>
    <n v="45364.523961979168"/>
    <x v="1"/>
    <x v="1"/>
    <m/>
    <x v="7"/>
    <x v="6"/>
  </r>
  <r>
    <x v="12"/>
    <x v="0"/>
    <x v="0"/>
    <n v="45364.601861979165"/>
    <x v="8"/>
    <x v="0"/>
    <s v="ANON-0000-0000-0052"/>
    <x v="2"/>
    <x v="3"/>
  </r>
  <r>
    <x v="12"/>
    <x v="0"/>
    <x v="0"/>
    <n v="45364.653035428244"/>
    <x v="3"/>
    <x v="0"/>
    <s v="ANON-0000-0000-0053"/>
    <x v="4"/>
    <x v="6"/>
  </r>
  <r>
    <x v="12"/>
    <x v="0"/>
    <x v="0"/>
    <n v="45364.653708611113"/>
    <x v="3"/>
    <x v="0"/>
    <s v="ANON-0000-0000-0053"/>
    <x v="4"/>
    <x v="6"/>
  </r>
  <r>
    <x v="12"/>
    <x v="0"/>
    <x v="0"/>
    <n v="45364.699414039351"/>
    <x v="4"/>
    <x v="0"/>
    <s v="ANON-0000-0000-0054"/>
    <x v="4"/>
    <x v="6"/>
  </r>
  <r>
    <x v="13"/>
    <x v="0"/>
    <x v="0"/>
    <n v="45365.418197233797"/>
    <x v="0"/>
    <x v="1"/>
    <m/>
    <x v="3"/>
    <x v="0"/>
  </r>
  <r>
    <x v="13"/>
    <x v="0"/>
    <x v="0"/>
    <n v="45365.436493252317"/>
    <x v="0"/>
    <x v="0"/>
    <s v="ANON-0000-0000-0055"/>
    <x v="0"/>
    <x v="0"/>
  </r>
  <r>
    <x v="13"/>
    <x v="0"/>
    <x v="0"/>
    <n v="45365.437202349538"/>
    <x v="0"/>
    <x v="0"/>
    <s v="ANON-0000-0000-0055"/>
    <x v="0"/>
    <x v="1"/>
  </r>
  <r>
    <x v="13"/>
    <x v="0"/>
    <x v="0"/>
    <n v="45365.560758518521"/>
    <x v="2"/>
    <x v="0"/>
    <s v="ANON-0000-0000-0012"/>
    <x v="1"/>
    <x v="5"/>
  </r>
  <r>
    <x v="13"/>
    <x v="0"/>
    <x v="0"/>
    <n v="45365.561394988428"/>
    <x v="2"/>
    <x v="0"/>
    <s v="ANON-0000-0000-0012"/>
    <x v="1"/>
    <x v="2"/>
  </r>
  <r>
    <x v="13"/>
    <x v="0"/>
    <x v="0"/>
    <n v="45365.577776678241"/>
    <x v="2"/>
    <x v="0"/>
    <s v="ANON-0000-0000-0056"/>
    <x v="2"/>
    <x v="3"/>
  </r>
  <r>
    <x v="13"/>
    <x v="0"/>
    <x v="0"/>
    <n v="45365.578428796296"/>
    <x v="2"/>
    <x v="0"/>
    <s v="ANON-0000-0000-0057"/>
    <x v="4"/>
    <x v="6"/>
  </r>
  <r>
    <x v="13"/>
    <x v="0"/>
    <x v="0"/>
    <n v="45365.639332951388"/>
    <x v="3"/>
    <x v="0"/>
    <s v="ANON-0000-0000-0058"/>
    <x v="0"/>
    <x v="0"/>
  </r>
  <r>
    <x v="13"/>
    <x v="0"/>
    <x v="0"/>
    <n v="45365.669554467589"/>
    <x v="4"/>
    <x v="0"/>
    <s v="ANON-0000-0000-0059"/>
    <x v="2"/>
    <x v="3"/>
  </r>
  <r>
    <x v="13"/>
    <x v="0"/>
    <x v="0"/>
    <n v="45365.704608819447"/>
    <x v="4"/>
    <x v="0"/>
    <s v="ANON-0000-0000-0050"/>
    <x v="4"/>
    <x v="6"/>
  </r>
  <r>
    <x v="13"/>
    <x v="0"/>
    <x v="0"/>
    <n v="45365.790924236113"/>
    <x v="5"/>
    <x v="0"/>
    <s v="ANON-0000-0000-0019"/>
    <x v="0"/>
    <x v="1"/>
  </r>
  <r>
    <x v="13"/>
    <x v="0"/>
    <x v="0"/>
    <n v="45365.791766932867"/>
    <x v="6"/>
    <x v="0"/>
    <s v="ANON-0000-0000-0012"/>
    <x v="1"/>
    <x v="5"/>
  </r>
  <r>
    <x v="14"/>
    <x v="0"/>
    <x v="0"/>
    <n v="45366.418246909721"/>
    <x v="0"/>
    <x v="1"/>
    <m/>
    <x v="3"/>
    <x v="0"/>
  </r>
  <r>
    <x v="14"/>
    <x v="0"/>
    <x v="0"/>
    <n v="45366.453497453702"/>
    <x v="0"/>
    <x v="0"/>
    <s v="ANON-0000-0000-0060"/>
    <x v="0"/>
    <x v="1"/>
  </r>
  <r>
    <x v="14"/>
    <x v="0"/>
    <x v="0"/>
    <n v="45366.763517615742"/>
    <x v="5"/>
    <x v="0"/>
    <s v="ANON-0000-0000-0012"/>
    <x v="1"/>
    <x v="2"/>
  </r>
  <r>
    <x v="15"/>
    <x v="0"/>
    <x v="0"/>
    <n v="45367.504805659722"/>
    <x v="1"/>
    <x v="0"/>
    <s v="ANON-0000-0000-0061"/>
    <x v="2"/>
    <x v="3"/>
  </r>
  <r>
    <x v="15"/>
    <x v="0"/>
    <x v="0"/>
    <n v="45367.505485127316"/>
    <x v="1"/>
    <x v="0"/>
    <s v="ANON-0000-0000-0061"/>
    <x v="1"/>
    <x v="2"/>
  </r>
  <r>
    <x v="15"/>
    <x v="0"/>
    <x v="0"/>
    <n v="45367.665491412037"/>
    <x v="3"/>
    <x v="0"/>
    <s v="ANON-0000-0000-0009"/>
    <x v="1"/>
    <x v="5"/>
  </r>
  <r>
    <x v="15"/>
    <x v="0"/>
    <x v="0"/>
    <n v="45367.66900159722"/>
    <x v="4"/>
    <x v="0"/>
    <s v="ANON-0000-0000-0009"/>
    <x v="1"/>
    <x v="5"/>
  </r>
  <r>
    <x v="15"/>
    <x v="0"/>
    <x v="0"/>
    <n v="45367.669576898152"/>
    <x v="4"/>
    <x v="0"/>
    <s v="ANON-0000-0000-0012"/>
    <x v="1"/>
    <x v="5"/>
  </r>
  <r>
    <x v="15"/>
    <x v="0"/>
    <x v="0"/>
    <n v="45367.748694918984"/>
    <x v="9"/>
    <x v="0"/>
    <s v="ANON-0000-0000-0062"/>
    <x v="2"/>
    <x v="3"/>
  </r>
  <r>
    <x v="16"/>
    <x v="0"/>
    <x v="0"/>
    <n v="45368.423858784721"/>
    <x v="0"/>
    <x v="1"/>
    <m/>
    <x v="3"/>
    <x v="0"/>
  </r>
  <r>
    <x v="16"/>
    <x v="0"/>
    <x v="0"/>
    <n v="45368.538496122688"/>
    <x v="1"/>
    <x v="0"/>
    <s v="ANON-0000-0000-0063"/>
    <x v="1"/>
    <x v="5"/>
  </r>
  <r>
    <x v="17"/>
    <x v="0"/>
    <x v="0"/>
    <n v="45369.47082952546"/>
    <x v="7"/>
    <x v="0"/>
    <s v="ANON-0000-0000-0064"/>
    <x v="1"/>
    <x v="5"/>
  </r>
  <r>
    <x v="17"/>
    <x v="0"/>
    <x v="0"/>
    <n v="45369.64698755787"/>
    <x v="3"/>
    <x v="0"/>
    <s v="ANON-0000-0000-0003"/>
    <x v="1"/>
    <x v="2"/>
  </r>
  <r>
    <x v="17"/>
    <x v="0"/>
    <x v="0"/>
    <n v="45369.64766480324"/>
    <x v="3"/>
    <x v="0"/>
    <s v="ANON-0000-0000-0003"/>
    <x v="1"/>
    <x v="2"/>
  </r>
  <r>
    <x v="17"/>
    <x v="0"/>
    <x v="0"/>
    <n v="45369.648341527776"/>
    <x v="3"/>
    <x v="0"/>
    <s v="ANON-0000-0000-0003"/>
    <x v="1"/>
    <x v="2"/>
  </r>
  <r>
    <x v="18"/>
    <x v="0"/>
    <x v="0"/>
    <n v="45370.430856435189"/>
    <x v="0"/>
    <x v="1"/>
    <m/>
    <x v="6"/>
    <x v="5"/>
  </r>
  <r>
    <x v="18"/>
    <x v="0"/>
    <x v="0"/>
    <n v="45370.584971481483"/>
    <x v="8"/>
    <x v="0"/>
    <s v="ANON-0000-0000-0065"/>
    <x v="0"/>
    <x v="0"/>
  </r>
  <r>
    <x v="18"/>
    <x v="0"/>
    <x v="0"/>
    <n v="45370.58564542824"/>
    <x v="8"/>
    <x v="0"/>
    <s v="ANON-0000-0000-0065"/>
    <x v="0"/>
    <x v="0"/>
  </r>
  <r>
    <x v="18"/>
    <x v="0"/>
    <x v="0"/>
    <n v="45370.628198020837"/>
    <x v="3"/>
    <x v="0"/>
    <s v="ANON-0000-0000-0049"/>
    <x v="0"/>
    <x v="1"/>
  </r>
  <r>
    <x v="18"/>
    <x v="0"/>
    <x v="0"/>
    <n v="45370.704035949071"/>
    <x v="4"/>
    <x v="0"/>
    <s v="ANON-0000-0000-0066"/>
    <x v="2"/>
    <x v="3"/>
  </r>
  <r>
    <x v="18"/>
    <x v="0"/>
    <x v="0"/>
    <n v="45370.810100428243"/>
    <x v="6"/>
    <x v="1"/>
    <m/>
    <x v="3"/>
    <x v="1"/>
  </r>
  <r>
    <x v="19"/>
    <x v="0"/>
    <x v="0"/>
    <n v="45371.486995405096"/>
    <x v="7"/>
    <x v="0"/>
    <s v="ANON-0000-0000-0012"/>
    <x v="1"/>
    <x v="5"/>
  </r>
  <r>
    <x v="19"/>
    <x v="0"/>
    <x v="0"/>
    <n v="45371.514672777776"/>
    <x v="1"/>
    <x v="1"/>
    <m/>
    <x v="3"/>
    <x v="0"/>
  </r>
  <r>
    <x v="19"/>
    <x v="0"/>
    <x v="0"/>
    <n v="45371.521400092592"/>
    <x v="1"/>
    <x v="0"/>
    <s v="ANON-0000-0000-0049"/>
    <x v="1"/>
    <x v="5"/>
  </r>
  <r>
    <x v="19"/>
    <x v="0"/>
    <x v="0"/>
    <n v="45371.553326319445"/>
    <x v="2"/>
    <x v="0"/>
    <s v="ANON-0000-0000-0067"/>
    <x v="0"/>
    <x v="7"/>
  </r>
  <r>
    <x v="19"/>
    <x v="0"/>
    <x v="0"/>
    <n v="45371.696274502312"/>
    <x v="4"/>
    <x v="0"/>
    <s v="ANON-0000-0000-0050"/>
    <x v="0"/>
    <x v="4"/>
  </r>
  <r>
    <x v="19"/>
    <x v="0"/>
    <x v="0"/>
    <n v="45371.743388668983"/>
    <x v="9"/>
    <x v="0"/>
    <s v="ANON-0000-0000-0068"/>
    <x v="0"/>
    <x v="0"/>
  </r>
  <r>
    <x v="20"/>
    <x v="0"/>
    <x v="0"/>
    <n v="45372.429826122687"/>
    <x v="0"/>
    <x v="1"/>
    <m/>
    <x v="3"/>
    <x v="7"/>
  </r>
  <r>
    <x v="20"/>
    <x v="0"/>
    <x v="0"/>
    <n v="45372.517467523146"/>
    <x v="1"/>
    <x v="0"/>
    <s v="ANON-0000-0000-0012"/>
    <x v="1"/>
    <x v="5"/>
  </r>
  <r>
    <x v="20"/>
    <x v="0"/>
    <x v="0"/>
    <n v="45372.518257268515"/>
    <x v="1"/>
    <x v="0"/>
    <s v="ANON-0000-0000-0012"/>
    <x v="0"/>
    <x v="7"/>
  </r>
  <r>
    <x v="20"/>
    <x v="0"/>
    <x v="0"/>
    <n v="45372.722933483798"/>
    <x v="9"/>
    <x v="1"/>
    <m/>
    <x v="6"/>
    <x v="2"/>
  </r>
  <r>
    <x v="20"/>
    <x v="0"/>
    <x v="0"/>
    <n v="45372.723626770836"/>
    <x v="9"/>
    <x v="0"/>
    <s v="ANON-0000-0000-0012"/>
    <x v="1"/>
    <x v="5"/>
  </r>
  <r>
    <x v="20"/>
    <x v="0"/>
    <x v="0"/>
    <n v="45372.805978101853"/>
    <x v="6"/>
    <x v="0"/>
    <s v="ANON-0000-0000-0069"/>
    <x v="0"/>
    <x v="0"/>
  </r>
  <r>
    <x v="21"/>
    <x v="0"/>
    <x v="0"/>
    <n v="45373.441592812502"/>
    <x v="0"/>
    <x v="0"/>
    <s v="ANON-0000-0000-0070"/>
    <x v="2"/>
    <x v="3"/>
  </r>
  <r>
    <x v="21"/>
    <x v="0"/>
    <x v="0"/>
    <n v="45373.562041006946"/>
    <x v="2"/>
    <x v="0"/>
    <s v="ANON-0000-0000-0071"/>
    <x v="2"/>
    <x v="3"/>
  </r>
  <r>
    <x v="21"/>
    <x v="0"/>
    <x v="0"/>
    <n v="45373.677250555556"/>
    <x v="4"/>
    <x v="1"/>
    <m/>
    <x v="3"/>
    <x v="7"/>
  </r>
  <r>
    <x v="21"/>
    <x v="0"/>
    <x v="0"/>
    <n v="45373.720181990742"/>
    <x v="9"/>
    <x v="0"/>
    <s v="ANON-0000-0000-0012"/>
    <x v="1"/>
    <x v="2"/>
  </r>
  <r>
    <x v="21"/>
    <x v="0"/>
    <x v="0"/>
    <n v="45373.720821655093"/>
    <x v="9"/>
    <x v="0"/>
    <s v="ANON-0000-0000-0012"/>
    <x v="4"/>
    <x v="6"/>
  </r>
  <r>
    <x v="21"/>
    <x v="0"/>
    <x v="0"/>
    <n v="45373.722795023146"/>
    <x v="9"/>
    <x v="0"/>
    <s v="ANON-0000-0000-0050"/>
    <x v="1"/>
    <x v="2"/>
  </r>
  <r>
    <x v="22"/>
    <x v="0"/>
    <x v="0"/>
    <n v="45374.447217118053"/>
    <x v="0"/>
    <x v="0"/>
    <s v="ANON-0000-0000-0072"/>
    <x v="0"/>
    <x v="0"/>
  </r>
  <r>
    <x v="22"/>
    <x v="0"/>
    <x v="0"/>
    <n v="45374.447999502314"/>
    <x v="0"/>
    <x v="0"/>
    <s v="ANON-0000-0000-0073"/>
    <x v="2"/>
    <x v="3"/>
  </r>
  <r>
    <x v="22"/>
    <x v="0"/>
    <x v="0"/>
    <n v="45374.548699780091"/>
    <x v="2"/>
    <x v="0"/>
    <s v="ANON-0000-0000-0074"/>
    <x v="0"/>
    <x v="7"/>
  </r>
  <r>
    <x v="22"/>
    <x v="0"/>
    <x v="0"/>
    <n v="45374.549447106481"/>
    <x v="2"/>
    <x v="0"/>
    <s v="ANON-0000-0000-0074"/>
    <x v="0"/>
    <x v="4"/>
  </r>
  <r>
    <x v="22"/>
    <x v="0"/>
    <x v="0"/>
    <n v="45374.614366620372"/>
    <x v="8"/>
    <x v="0"/>
    <s v="ANON-0000-0000-0075"/>
    <x v="2"/>
    <x v="3"/>
  </r>
  <r>
    <x v="22"/>
    <x v="0"/>
    <x v="0"/>
    <n v="45374.657859513885"/>
    <x v="3"/>
    <x v="0"/>
    <s v="ANON-0000-0000-0076"/>
    <x v="0"/>
    <x v="0"/>
  </r>
  <r>
    <x v="22"/>
    <x v="0"/>
    <x v="0"/>
    <n v="45374.659419131945"/>
    <x v="3"/>
    <x v="0"/>
    <s v="ANON-0000-0000-0076"/>
    <x v="2"/>
    <x v="3"/>
  </r>
  <r>
    <x v="22"/>
    <x v="0"/>
    <x v="0"/>
    <n v="45374.667342430555"/>
    <x v="4"/>
    <x v="0"/>
    <s v="ANON-0000-0000-0009"/>
    <x v="1"/>
    <x v="5"/>
  </r>
  <r>
    <x v="23"/>
    <x v="0"/>
    <x v="0"/>
    <n v="45375.419398206017"/>
    <x v="0"/>
    <x v="1"/>
    <m/>
    <x v="3"/>
    <x v="0"/>
  </r>
  <r>
    <x v="23"/>
    <x v="0"/>
    <x v="0"/>
    <n v="45375.781347187498"/>
    <x v="5"/>
    <x v="0"/>
    <s v="ANON-0000-0000-0077"/>
    <x v="0"/>
    <x v="0"/>
  </r>
  <r>
    <x v="24"/>
    <x v="0"/>
    <x v="0"/>
    <n v="45376.438741319442"/>
    <x v="0"/>
    <x v="0"/>
    <s v="ANON-0000-0000-0009"/>
    <x v="0"/>
    <x v="0"/>
  </r>
  <r>
    <x v="24"/>
    <x v="0"/>
    <x v="0"/>
    <n v="45376.469741562498"/>
    <x v="7"/>
    <x v="1"/>
    <m/>
    <x v="5"/>
    <x v="3"/>
  </r>
  <r>
    <x v="24"/>
    <x v="0"/>
    <x v="0"/>
    <n v="45376.602189386576"/>
    <x v="8"/>
    <x v="0"/>
    <s v="ANON-0000-0000-0078"/>
    <x v="0"/>
    <x v="0"/>
  </r>
  <r>
    <x v="24"/>
    <x v="0"/>
    <x v="0"/>
    <n v="45376.60376554398"/>
    <x v="8"/>
    <x v="0"/>
    <s v="ANON-0000-0000-0017"/>
    <x v="0"/>
    <x v="0"/>
  </r>
  <r>
    <x v="24"/>
    <x v="0"/>
    <x v="0"/>
    <n v="45376.776049189815"/>
    <x v="5"/>
    <x v="0"/>
    <s v="ANON-0000-0000-0024"/>
    <x v="2"/>
    <x v="3"/>
  </r>
  <r>
    <x v="24"/>
    <x v="0"/>
    <x v="0"/>
    <n v="45376.815561828706"/>
    <x v="6"/>
    <x v="0"/>
    <s v="ANON-0000-0000-0079"/>
    <x v="0"/>
    <x v="7"/>
  </r>
  <r>
    <x v="25"/>
    <x v="0"/>
    <x v="0"/>
    <n v="45377.441547210648"/>
    <x v="0"/>
    <x v="0"/>
    <s v="ANON-0000-0000-0055"/>
    <x v="0"/>
    <x v="4"/>
  </r>
  <r>
    <x v="25"/>
    <x v="0"/>
    <x v="0"/>
    <n v="45377.44208508102"/>
    <x v="0"/>
    <x v="0"/>
    <s v="ANON-0000-0000-0055"/>
    <x v="0"/>
    <x v="0"/>
  </r>
  <r>
    <x v="25"/>
    <x v="0"/>
    <x v="0"/>
    <n v="45377.446182523148"/>
    <x v="0"/>
    <x v="0"/>
    <s v="ANON-0000-0000-0080"/>
    <x v="0"/>
    <x v="0"/>
  </r>
  <r>
    <x v="25"/>
    <x v="0"/>
    <x v="0"/>
    <n v="45377.46652008102"/>
    <x v="7"/>
    <x v="0"/>
    <s v="ANON-0000-0000-0009"/>
    <x v="1"/>
    <x v="5"/>
  </r>
  <r>
    <x v="25"/>
    <x v="0"/>
    <x v="0"/>
    <n v="45377.566583020831"/>
    <x v="2"/>
    <x v="0"/>
    <s v="ANON-0000-0000-0003"/>
    <x v="1"/>
    <x v="2"/>
  </r>
  <r>
    <x v="25"/>
    <x v="0"/>
    <x v="0"/>
    <n v="45377.567241249999"/>
    <x v="2"/>
    <x v="0"/>
    <s v="ANON-0000-0000-0032"/>
    <x v="1"/>
    <x v="5"/>
  </r>
  <r>
    <x v="25"/>
    <x v="0"/>
    <x v="0"/>
    <n v="45377.568052349539"/>
    <x v="2"/>
    <x v="0"/>
    <s v="ANON-0000-0000-0059"/>
    <x v="1"/>
    <x v="5"/>
  </r>
  <r>
    <x v="25"/>
    <x v="0"/>
    <x v="0"/>
    <n v="45377.581871261573"/>
    <x v="2"/>
    <x v="0"/>
    <s v="ANON-0000-0000-0050"/>
    <x v="1"/>
    <x v="2"/>
  </r>
  <r>
    <x v="25"/>
    <x v="0"/>
    <x v="0"/>
    <n v="45377.658359606481"/>
    <x v="3"/>
    <x v="0"/>
    <s v="ANON-0000-0000-0081"/>
    <x v="0"/>
    <x v="0"/>
  </r>
  <r>
    <x v="25"/>
    <x v="0"/>
    <x v="0"/>
    <n v="45377.773363055552"/>
    <x v="5"/>
    <x v="0"/>
    <s v="ANON-0000-0000-0024"/>
    <x v="0"/>
    <x v="0"/>
  </r>
  <r>
    <x v="25"/>
    <x v="0"/>
    <x v="0"/>
    <n v="45377.774243611108"/>
    <x v="5"/>
    <x v="0"/>
    <s v="ANON-0000-0000-0009"/>
    <x v="0"/>
    <x v="1"/>
  </r>
  <r>
    <x v="26"/>
    <x v="0"/>
    <x v="0"/>
    <n v="45378.461703402776"/>
    <x v="7"/>
    <x v="0"/>
    <s v="ANON-0000-0000-0003"/>
    <x v="1"/>
    <x v="5"/>
  </r>
  <r>
    <x v="26"/>
    <x v="0"/>
    <x v="0"/>
    <n v="45378.462479583337"/>
    <x v="7"/>
    <x v="0"/>
    <s v="ANON-0000-0000-0003"/>
    <x v="2"/>
    <x v="3"/>
  </r>
  <r>
    <x v="26"/>
    <x v="0"/>
    <x v="0"/>
    <n v="45378.539588680556"/>
    <x v="1"/>
    <x v="0"/>
    <s v="ANON-0000-0000-0082"/>
    <x v="2"/>
    <x v="3"/>
  </r>
  <r>
    <x v="26"/>
    <x v="0"/>
    <x v="0"/>
    <n v="45378.56620415509"/>
    <x v="2"/>
    <x v="0"/>
    <s v="ANON-0000-0000-0083"/>
    <x v="0"/>
    <x v="1"/>
  </r>
  <r>
    <x v="26"/>
    <x v="0"/>
    <x v="0"/>
    <n v="45378.598977569447"/>
    <x v="8"/>
    <x v="0"/>
    <s v="ANON-0000-0000-0012"/>
    <x v="0"/>
    <x v="7"/>
  </r>
  <r>
    <x v="26"/>
    <x v="0"/>
    <x v="0"/>
    <n v="45378.599715046294"/>
    <x v="8"/>
    <x v="0"/>
    <s v="ANON-0000-0000-0012"/>
    <x v="1"/>
    <x v="2"/>
  </r>
  <r>
    <x v="26"/>
    <x v="0"/>
    <x v="0"/>
    <n v="45378.770970289355"/>
    <x v="5"/>
    <x v="0"/>
    <s v="ANON-0000-0000-0084"/>
    <x v="1"/>
    <x v="5"/>
  </r>
  <r>
    <x v="26"/>
    <x v="0"/>
    <x v="0"/>
    <n v="45378.813338449072"/>
    <x v="6"/>
    <x v="1"/>
    <m/>
    <x v="3"/>
    <x v="0"/>
  </r>
  <r>
    <x v="27"/>
    <x v="0"/>
    <x v="0"/>
    <n v="45379.600545046298"/>
    <x v="8"/>
    <x v="0"/>
    <s v="ANON-0000-0000-0085"/>
    <x v="1"/>
    <x v="5"/>
  </r>
  <r>
    <x v="27"/>
    <x v="0"/>
    <x v="0"/>
    <n v="45379.725535231482"/>
    <x v="9"/>
    <x v="0"/>
    <s v="ANON-0000-0000-0012"/>
    <x v="1"/>
    <x v="5"/>
  </r>
  <r>
    <x v="27"/>
    <x v="0"/>
    <x v="0"/>
    <n v="45379.727144722223"/>
    <x v="9"/>
    <x v="0"/>
    <s v="ANON-0000-0000-0012"/>
    <x v="1"/>
    <x v="2"/>
  </r>
  <r>
    <x v="27"/>
    <x v="0"/>
    <x v="0"/>
    <n v="45379.731072361108"/>
    <x v="9"/>
    <x v="0"/>
    <s v="ANON-0000-0000-0086"/>
    <x v="0"/>
    <x v="0"/>
  </r>
  <r>
    <x v="28"/>
    <x v="0"/>
    <x v="0"/>
    <n v="45380.455781192133"/>
    <x v="0"/>
    <x v="0"/>
    <s v="ANON-0000-0000-0087"/>
    <x v="0"/>
    <x v="0"/>
  </r>
  <r>
    <x v="28"/>
    <x v="0"/>
    <x v="0"/>
    <n v="45380.52381230324"/>
    <x v="1"/>
    <x v="0"/>
    <s v="ANON-0000-0000-0088"/>
    <x v="0"/>
    <x v="7"/>
  </r>
  <r>
    <x v="28"/>
    <x v="0"/>
    <x v="0"/>
    <n v="45380.528844039349"/>
    <x v="1"/>
    <x v="0"/>
    <s v="ANON-0000-0000-0088"/>
    <x v="0"/>
    <x v="7"/>
  </r>
  <r>
    <x v="28"/>
    <x v="0"/>
    <x v="0"/>
    <n v="45380.557460856478"/>
    <x v="2"/>
    <x v="1"/>
    <m/>
    <x v="3"/>
    <x v="7"/>
  </r>
  <r>
    <x v="29"/>
    <x v="0"/>
    <x v="0"/>
    <n v="45381.499535347219"/>
    <x v="7"/>
    <x v="0"/>
    <s v="ANON-0000-0000-0069"/>
    <x v="0"/>
    <x v="0"/>
  </r>
  <r>
    <x v="29"/>
    <x v="0"/>
    <x v="0"/>
    <n v="45381.575993229169"/>
    <x v="2"/>
    <x v="1"/>
    <m/>
    <x v="3"/>
    <x v="7"/>
  </r>
  <r>
    <x v="29"/>
    <x v="0"/>
    <x v="0"/>
    <n v="45381.67536789352"/>
    <x v="4"/>
    <x v="0"/>
    <s v="ANON-0000-0000-0017"/>
    <x v="0"/>
    <x v="0"/>
  </r>
  <r>
    <x v="29"/>
    <x v="0"/>
    <x v="0"/>
    <n v="45381.692135567129"/>
    <x v="4"/>
    <x v="0"/>
    <s v="ANON-0000-0000-0009"/>
    <x v="0"/>
    <x v="0"/>
  </r>
  <r>
    <x v="29"/>
    <x v="0"/>
    <x v="0"/>
    <n v="45381.6930272338"/>
    <x v="4"/>
    <x v="0"/>
    <s v="ANON-0000-0000-0009"/>
    <x v="2"/>
    <x v="3"/>
  </r>
  <r>
    <x v="30"/>
    <x v="0"/>
    <x v="0"/>
    <n v="45382.444496793978"/>
    <x v="0"/>
    <x v="0"/>
    <s v="ANON-0000-0000-0089"/>
    <x v="0"/>
    <x v="7"/>
  </r>
  <r>
    <x v="30"/>
    <x v="0"/>
    <x v="0"/>
    <n v="45382.817187499997"/>
    <x v="6"/>
    <x v="1"/>
    <m/>
    <x v="6"/>
    <x v="2"/>
  </r>
  <r>
    <x v="31"/>
    <x v="0"/>
    <x v="1"/>
    <n v="45383.436662048611"/>
    <x v="0"/>
    <x v="0"/>
    <s v="ANON-0000-0000-0004"/>
    <x v="1"/>
    <x v="2"/>
  </r>
  <r>
    <x v="31"/>
    <x v="0"/>
    <x v="1"/>
    <n v="45383.437295347219"/>
    <x v="0"/>
    <x v="0"/>
    <s v="ANON-0000-0000-0004"/>
    <x v="2"/>
    <x v="3"/>
  </r>
  <r>
    <x v="31"/>
    <x v="0"/>
    <x v="1"/>
    <n v="45383.438006192133"/>
    <x v="0"/>
    <x v="0"/>
    <s v="ANON-0000-0000-0004"/>
    <x v="2"/>
    <x v="3"/>
  </r>
  <r>
    <x v="31"/>
    <x v="0"/>
    <x v="1"/>
    <n v="45383.46925736111"/>
    <x v="7"/>
    <x v="0"/>
    <s v="ANON-0000-0000-0009"/>
    <x v="2"/>
    <x v="3"/>
  </r>
  <r>
    <x v="31"/>
    <x v="0"/>
    <x v="1"/>
    <n v="45383.709524583333"/>
    <x v="9"/>
    <x v="1"/>
    <m/>
    <x v="3"/>
    <x v="7"/>
  </r>
  <r>
    <x v="31"/>
    <x v="0"/>
    <x v="1"/>
    <n v="45383.762990416668"/>
    <x v="5"/>
    <x v="0"/>
    <s v="ANON-0000-0000-0024"/>
    <x v="2"/>
    <x v="3"/>
  </r>
  <r>
    <x v="31"/>
    <x v="0"/>
    <x v="1"/>
    <n v="45383.781567546299"/>
    <x v="5"/>
    <x v="0"/>
    <s v="ANON-0000-0000-0090"/>
    <x v="0"/>
    <x v="1"/>
  </r>
  <r>
    <x v="32"/>
    <x v="0"/>
    <x v="1"/>
    <n v="45384.417523402779"/>
    <x v="0"/>
    <x v="0"/>
    <s v="ANON-0000-0000-0001"/>
    <x v="0"/>
    <x v="0"/>
  </r>
  <r>
    <x v="32"/>
    <x v="0"/>
    <x v="1"/>
    <n v="45384.679562141202"/>
    <x v="4"/>
    <x v="0"/>
    <s v="ANON-0000-0000-0003"/>
    <x v="1"/>
    <x v="2"/>
  </r>
  <r>
    <x v="32"/>
    <x v="0"/>
    <x v="1"/>
    <n v="45384.680190509258"/>
    <x v="4"/>
    <x v="0"/>
    <s v="ANON-0000-0000-0003"/>
    <x v="1"/>
    <x v="5"/>
  </r>
  <r>
    <x v="32"/>
    <x v="0"/>
    <x v="1"/>
    <n v="45384.833008587964"/>
    <x v="6"/>
    <x v="1"/>
    <m/>
    <x v="3"/>
    <x v="7"/>
  </r>
  <r>
    <x v="33"/>
    <x v="0"/>
    <x v="1"/>
    <n v="45385.430019027779"/>
    <x v="0"/>
    <x v="0"/>
    <s v="ANON-0000-0000-0003"/>
    <x v="1"/>
    <x v="5"/>
  </r>
  <r>
    <x v="33"/>
    <x v="0"/>
    <x v="1"/>
    <n v="45385.430644155094"/>
    <x v="0"/>
    <x v="0"/>
    <s v="ANON-0000-0000-0003"/>
    <x v="1"/>
    <x v="2"/>
  </r>
  <r>
    <x v="33"/>
    <x v="0"/>
    <x v="1"/>
    <n v="45385.550062118054"/>
    <x v="2"/>
    <x v="0"/>
    <s v="ANON-0000-0000-0012"/>
    <x v="0"/>
    <x v="7"/>
  </r>
  <r>
    <x v="33"/>
    <x v="0"/>
    <x v="1"/>
    <n v="45385.650135821757"/>
    <x v="3"/>
    <x v="1"/>
    <m/>
    <x v="6"/>
    <x v="5"/>
  </r>
  <r>
    <x v="34"/>
    <x v="0"/>
    <x v="1"/>
    <n v="45386.447870231481"/>
    <x v="0"/>
    <x v="0"/>
    <s v="ANON-0000-0000-0091"/>
    <x v="0"/>
    <x v="0"/>
  </r>
  <r>
    <x v="34"/>
    <x v="0"/>
    <x v="1"/>
    <n v="45386.476829687497"/>
    <x v="7"/>
    <x v="0"/>
    <s v="ANON-0000-0000-0092"/>
    <x v="0"/>
    <x v="0"/>
  </r>
  <r>
    <x v="34"/>
    <x v="0"/>
    <x v="1"/>
    <n v="45386.477643645834"/>
    <x v="7"/>
    <x v="0"/>
    <s v="ANON-0000-0000-0093"/>
    <x v="0"/>
    <x v="7"/>
  </r>
  <r>
    <x v="34"/>
    <x v="0"/>
    <x v="1"/>
    <n v="45386.515997870367"/>
    <x v="1"/>
    <x v="0"/>
    <s v="ANON-0000-0000-0094"/>
    <x v="1"/>
    <x v="5"/>
  </r>
  <r>
    <x v="34"/>
    <x v="0"/>
    <x v="1"/>
    <n v="45386.820922916668"/>
    <x v="6"/>
    <x v="1"/>
    <m/>
    <x v="3"/>
    <x v="0"/>
  </r>
  <r>
    <x v="35"/>
    <x v="0"/>
    <x v="1"/>
    <n v="45387.444938981484"/>
    <x v="0"/>
    <x v="0"/>
    <s v="ANON-0000-0000-0095"/>
    <x v="1"/>
    <x v="2"/>
  </r>
  <r>
    <x v="35"/>
    <x v="0"/>
    <x v="1"/>
    <n v="45387.445905138891"/>
    <x v="0"/>
    <x v="0"/>
    <s v="ANON-0000-0000-0012"/>
    <x v="1"/>
    <x v="2"/>
  </r>
  <r>
    <x v="35"/>
    <x v="0"/>
    <x v="1"/>
    <n v="45387.462669479166"/>
    <x v="7"/>
    <x v="0"/>
    <s v="ANON-0000-0000-0096"/>
    <x v="1"/>
    <x v="5"/>
  </r>
  <r>
    <x v="35"/>
    <x v="0"/>
    <x v="1"/>
    <n v="45387.510046006944"/>
    <x v="1"/>
    <x v="0"/>
    <s v="ANON-0000-0000-0097"/>
    <x v="2"/>
    <x v="3"/>
  </r>
  <r>
    <x v="35"/>
    <x v="0"/>
    <x v="1"/>
    <n v="45387.599772997688"/>
    <x v="8"/>
    <x v="0"/>
    <s v="ANON-0000-0000-0098"/>
    <x v="0"/>
    <x v="0"/>
  </r>
  <r>
    <x v="35"/>
    <x v="0"/>
    <x v="1"/>
    <n v="45387.600583530089"/>
    <x v="8"/>
    <x v="0"/>
    <s v="ANON-0000-0000-0098"/>
    <x v="1"/>
    <x v="5"/>
  </r>
  <r>
    <x v="35"/>
    <x v="0"/>
    <x v="1"/>
    <n v="45387.646416469906"/>
    <x v="3"/>
    <x v="1"/>
    <m/>
    <x v="3"/>
    <x v="0"/>
  </r>
  <r>
    <x v="35"/>
    <x v="0"/>
    <x v="1"/>
    <n v="45387.662682499998"/>
    <x v="3"/>
    <x v="1"/>
    <m/>
    <x v="3"/>
    <x v="7"/>
  </r>
  <r>
    <x v="35"/>
    <x v="0"/>
    <x v="1"/>
    <n v="45387.663552627317"/>
    <x v="3"/>
    <x v="1"/>
    <m/>
    <x v="6"/>
    <x v="2"/>
  </r>
  <r>
    <x v="35"/>
    <x v="0"/>
    <x v="1"/>
    <n v="45387.678981192126"/>
    <x v="4"/>
    <x v="1"/>
    <m/>
    <x v="3"/>
    <x v="4"/>
  </r>
  <r>
    <x v="35"/>
    <x v="0"/>
    <x v="1"/>
    <n v="45387.679439328705"/>
    <x v="4"/>
    <x v="0"/>
    <s v="ANON-0000-0000-0003"/>
    <x v="4"/>
    <x v="6"/>
  </r>
  <r>
    <x v="36"/>
    <x v="0"/>
    <x v="1"/>
    <n v="45388.522585625004"/>
    <x v="1"/>
    <x v="0"/>
    <s v="ANON-0000-0000-0099"/>
    <x v="2"/>
    <x v="3"/>
  </r>
  <r>
    <x v="36"/>
    <x v="0"/>
    <x v="1"/>
    <n v="45388.592577928241"/>
    <x v="8"/>
    <x v="0"/>
    <s v="ANON-0000-0000-0040"/>
    <x v="0"/>
    <x v="7"/>
  </r>
  <r>
    <x v="36"/>
    <x v="0"/>
    <x v="1"/>
    <n v="45388.593368391201"/>
    <x v="8"/>
    <x v="0"/>
    <s v="ANON-0000-0000-0040"/>
    <x v="1"/>
    <x v="2"/>
  </r>
  <r>
    <x v="36"/>
    <x v="0"/>
    <x v="1"/>
    <n v="45388.617941932869"/>
    <x v="8"/>
    <x v="0"/>
    <s v="ANON-0000-0000-0009"/>
    <x v="0"/>
    <x v="0"/>
  </r>
  <r>
    <x v="37"/>
    <x v="0"/>
    <x v="1"/>
    <n v="45389.42561578704"/>
    <x v="0"/>
    <x v="0"/>
    <s v="ANON-0000-0000-0091"/>
    <x v="0"/>
    <x v="0"/>
  </r>
  <r>
    <x v="37"/>
    <x v="0"/>
    <x v="1"/>
    <n v="45389.530925185187"/>
    <x v="1"/>
    <x v="0"/>
    <s v="ANON-0000-0000-0040"/>
    <x v="0"/>
    <x v="7"/>
  </r>
  <r>
    <x v="37"/>
    <x v="0"/>
    <x v="1"/>
    <n v="45389.532003680557"/>
    <x v="1"/>
    <x v="0"/>
    <s v="ANON-0000-0000-0040"/>
    <x v="0"/>
    <x v="7"/>
  </r>
  <r>
    <x v="37"/>
    <x v="0"/>
    <x v="1"/>
    <n v="45389.594733206017"/>
    <x v="8"/>
    <x v="0"/>
    <s v="ANON-0000-0000-0100"/>
    <x v="1"/>
    <x v="5"/>
  </r>
  <r>
    <x v="37"/>
    <x v="0"/>
    <x v="1"/>
    <n v="45389.595493379631"/>
    <x v="8"/>
    <x v="0"/>
    <s v="ANON-0000-0000-0100"/>
    <x v="4"/>
    <x v="6"/>
  </r>
  <r>
    <x v="37"/>
    <x v="0"/>
    <x v="1"/>
    <n v="45389.750886666669"/>
    <x v="5"/>
    <x v="0"/>
    <s v="ANON-0000-0000-0101"/>
    <x v="0"/>
    <x v="1"/>
  </r>
  <r>
    <x v="37"/>
    <x v="0"/>
    <x v="1"/>
    <n v="45389.751433773148"/>
    <x v="5"/>
    <x v="0"/>
    <s v="ANON-0000-0000-0101"/>
    <x v="2"/>
    <x v="3"/>
  </r>
  <r>
    <x v="38"/>
    <x v="0"/>
    <x v="1"/>
    <n v="45390.457188726854"/>
    <x v="0"/>
    <x v="0"/>
    <s v="ANON-0000-0000-0102"/>
    <x v="2"/>
    <x v="3"/>
  </r>
  <r>
    <x v="38"/>
    <x v="0"/>
    <x v="1"/>
    <n v="45390.457957847226"/>
    <x v="0"/>
    <x v="0"/>
    <s v="ANON-0000-0000-0103"/>
    <x v="0"/>
    <x v="7"/>
  </r>
  <r>
    <x v="38"/>
    <x v="0"/>
    <x v="1"/>
    <n v="45390.45926462963"/>
    <x v="7"/>
    <x v="0"/>
    <s v="ANON-0000-0000-0012"/>
    <x v="1"/>
    <x v="2"/>
  </r>
  <r>
    <x v="38"/>
    <x v="0"/>
    <x v="1"/>
    <n v="45390.461655439816"/>
    <x v="7"/>
    <x v="0"/>
    <s v="ANON-0000-0000-0104"/>
    <x v="0"/>
    <x v="7"/>
  </r>
  <r>
    <x v="38"/>
    <x v="0"/>
    <x v="1"/>
    <n v="45390.537799733793"/>
    <x v="1"/>
    <x v="1"/>
    <m/>
    <x v="7"/>
    <x v="6"/>
  </r>
  <r>
    <x v="38"/>
    <x v="0"/>
    <x v="1"/>
    <n v="45390.655287974536"/>
    <x v="3"/>
    <x v="1"/>
    <m/>
    <x v="5"/>
    <x v="3"/>
  </r>
  <r>
    <x v="38"/>
    <x v="0"/>
    <x v="1"/>
    <n v="45390.695576458333"/>
    <x v="4"/>
    <x v="0"/>
    <s v="ANON-0000-0000-0017"/>
    <x v="0"/>
    <x v="0"/>
  </r>
  <r>
    <x v="38"/>
    <x v="0"/>
    <x v="1"/>
    <n v="45390.762612418985"/>
    <x v="5"/>
    <x v="0"/>
    <s v="ANON-0000-0000-0105"/>
    <x v="1"/>
    <x v="2"/>
  </r>
  <r>
    <x v="38"/>
    <x v="0"/>
    <x v="1"/>
    <n v="45390.807262465278"/>
    <x v="6"/>
    <x v="0"/>
    <s v="ANON-0000-0000-0024"/>
    <x v="2"/>
    <x v="3"/>
  </r>
  <r>
    <x v="38"/>
    <x v="0"/>
    <x v="1"/>
    <n v="45390.808324861115"/>
    <x v="6"/>
    <x v="0"/>
    <s v="ANON-0000-0000-0106"/>
    <x v="0"/>
    <x v="7"/>
  </r>
  <r>
    <x v="39"/>
    <x v="0"/>
    <x v="1"/>
    <n v="45391.432261099537"/>
    <x v="0"/>
    <x v="1"/>
    <m/>
    <x v="3"/>
    <x v="7"/>
  </r>
  <r>
    <x v="39"/>
    <x v="0"/>
    <x v="1"/>
    <n v="45391.433450266202"/>
    <x v="0"/>
    <x v="1"/>
    <m/>
    <x v="6"/>
    <x v="2"/>
  </r>
  <r>
    <x v="39"/>
    <x v="0"/>
    <x v="1"/>
    <n v="45391.487829490739"/>
    <x v="7"/>
    <x v="0"/>
    <s v="ANON-0000-0000-0091"/>
    <x v="0"/>
    <x v="0"/>
  </r>
  <r>
    <x v="39"/>
    <x v="0"/>
    <x v="1"/>
    <n v="45391.633202777775"/>
    <x v="3"/>
    <x v="0"/>
    <s v="ANON-0000-0000-0107"/>
    <x v="0"/>
    <x v="1"/>
  </r>
  <r>
    <x v="39"/>
    <x v="0"/>
    <x v="1"/>
    <n v="45391.725971481479"/>
    <x v="9"/>
    <x v="0"/>
    <s v="ANON-0000-0000-0049"/>
    <x v="0"/>
    <x v="1"/>
  </r>
  <r>
    <x v="40"/>
    <x v="0"/>
    <x v="1"/>
    <n v="45392.431552951391"/>
    <x v="0"/>
    <x v="1"/>
    <m/>
    <x v="7"/>
    <x v="6"/>
  </r>
  <r>
    <x v="40"/>
    <x v="0"/>
    <x v="1"/>
    <n v="45392.746609004629"/>
    <x v="9"/>
    <x v="1"/>
    <m/>
    <x v="3"/>
    <x v="1"/>
  </r>
  <r>
    <x v="40"/>
    <x v="0"/>
    <x v="1"/>
    <n v="45392.74688939815"/>
    <x v="9"/>
    <x v="0"/>
    <s v="ANON-0000-0000-0108"/>
    <x v="4"/>
    <x v="6"/>
  </r>
  <r>
    <x v="40"/>
    <x v="0"/>
    <x v="1"/>
    <n v="45392.767352893519"/>
    <x v="5"/>
    <x v="0"/>
    <s v="ANON-0000-0000-0009"/>
    <x v="0"/>
    <x v="7"/>
  </r>
  <r>
    <x v="40"/>
    <x v="0"/>
    <x v="1"/>
    <n v="45392.836173449075"/>
    <x v="12"/>
    <x v="0"/>
    <s v="ANON-0000-0000-0109"/>
    <x v="0"/>
    <x v="0"/>
  </r>
  <r>
    <x v="41"/>
    <x v="0"/>
    <x v="1"/>
    <n v="45393.445406886574"/>
    <x v="0"/>
    <x v="0"/>
    <s v="ANON-0000-0000-0110"/>
    <x v="1"/>
    <x v="2"/>
  </r>
  <r>
    <x v="41"/>
    <x v="0"/>
    <x v="1"/>
    <n v="45393.446520428239"/>
    <x v="0"/>
    <x v="0"/>
    <s v="ANON-0000-0000-0110"/>
    <x v="1"/>
    <x v="2"/>
  </r>
  <r>
    <x v="41"/>
    <x v="0"/>
    <x v="1"/>
    <n v="45393.691239224536"/>
    <x v="4"/>
    <x v="0"/>
    <s v="ANON-0000-0000-0017"/>
    <x v="0"/>
    <x v="0"/>
  </r>
  <r>
    <x v="41"/>
    <x v="0"/>
    <x v="1"/>
    <n v="45393.803432731482"/>
    <x v="6"/>
    <x v="0"/>
    <s v="ANON-0000-0000-0106"/>
    <x v="0"/>
    <x v="7"/>
  </r>
  <r>
    <x v="41"/>
    <x v="0"/>
    <x v="1"/>
    <n v="45393.804590497683"/>
    <x v="6"/>
    <x v="0"/>
    <s v="ANON-0000-0000-0024"/>
    <x v="2"/>
    <x v="3"/>
  </r>
  <r>
    <x v="42"/>
    <x v="0"/>
    <x v="1"/>
    <n v="45394.794252349537"/>
    <x v="6"/>
    <x v="0"/>
    <s v="ANON-0000-0000-0019"/>
    <x v="0"/>
    <x v="1"/>
  </r>
  <r>
    <x v="42"/>
    <x v="0"/>
    <x v="1"/>
    <n v="45394.818323946762"/>
    <x v="6"/>
    <x v="0"/>
    <s v="ANON-0000-0000-0009"/>
    <x v="1"/>
    <x v="5"/>
  </r>
  <r>
    <x v="43"/>
    <x v="0"/>
    <x v="1"/>
    <n v="45395.520368321762"/>
    <x v="1"/>
    <x v="0"/>
    <s v="ANON-0000-0000-0009"/>
    <x v="0"/>
    <x v="0"/>
  </r>
  <r>
    <x v="43"/>
    <x v="0"/>
    <x v="1"/>
    <n v="45395.529888761572"/>
    <x v="1"/>
    <x v="0"/>
    <s v="ANON-0000-0000-0012"/>
    <x v="1"/>
    <x v="2"/>
  </r>
  <r>
    <x v="43"/>
    <x v="0"/>
    <x v="1"/>
    <n v="45395.629771898151"/>
    <x v="3"/>
    <x v="1"/>
    <m/>
    <x v="3"/>
    <x v="1"/>
  </r>
  <r>
    <x v="43"/>
    <x v="0"/>
    <x v="1"/>
    <n v="45395.630508865739"/>
    <x v="3"/>
    <x v="1"/>
    <m/>
    <x v="3"/>
    <x v="1"/>
  </r>
  <r>
    <x v="43"/>
    <x v="0"/>
    <x v="1"/>
    <n v="45395.67921224537"/>
    <x v="4"/>
    <x v="0"/>
    <s v="ANON-0000-0000-0111"/>
    <x v="0"/>
    <x v="7"/>
  </r>
  <r>
    <x v="43"/>
    <x v="0"/>
    <x v="1"/>
    <n v="45395.680321747685"/>
    <x v="4"/>
    <x v="0"/>
    <s v="ANON-0000-0000-0111"/>
    <x v="0"/>
    <x v="0"/>
  </r>
  <r>
    <x v="43"/>
    <x v="0"/>
    <x v="1"/>
    <n v="45395.744051226851"/>
    <x v="9"/>
    <x v="0"/>
    <s v="ANON-0000-0000-0112"/>
    <x v="0"/>
    <x v="7"/>
  </r>
  <r>
    <x v="43"/>
    <x v="0"/>
    <x v="1"/>
    <n v="45395.745361539353"/>
    <x v="9"/>
    <x v="0"/>
    <s v="ANON-0000-0000-0012"/>
    <x v="0"/>
    <x v="7"/>
  </r>
  <r>
    <x v="44"/>
    <x v="0"/>
    <x v="1"/>
    <n v="45396.455178310185"/>
    <x v="0"/>
    <x v="1"/>
    <m/>
    <x v="3"/>
    <x v="0"/>
  </r>
  <r>
    <x v="44"/>
    <x v="0"/>
    <x v="1"/>
    <n v="45396.517118379626"/>
    <x v="1"/>
    <x v="0"/>
    <s v="ANON-0000-0000-0113"/>
    <x v="0"/>
    <x v="7"/>
  </r>
  <r>
    <x v="44"/>
    <x v="0"/>
    <x v="1"/>
    <n v="45396.51885359954"/>
    <x v="1"/>
    <x v="1"/>
    <m/>
    <x v="6"/>
    <x v="5"/>
  </r>
  <r>
    <x v="44"/>
    <x v="0"/>
    <x v="1"/>
    <n v="45396.520218483798"/>
    <x v="1"/>
    <x v="1"/>
    <m/>
    <x v="6"/>
    <x v="5"/>
  </r>
  <r>
    <x v="44"/>
    <x v="0"/>
    <x v="1"/>
    <n v="45396.52194486111"/>
    <x v="1"/>
    <x v="1"/>
    <m/>
    <x v="5"/>
    <x v="3"/>
  </r>
  <r>
    <x v="44"/>
    <x v="0"/>
    <x v="1"/>
    <n v="45396.556826481479"/>
    <x v="2"/>
    <x v="0"/>
    <s v="ANON-0000-0000-0114"/>
    <x v="1"/>
    <x v="5"/>
  </r>
  <r>
    <x v="44"/>
    <x v="0"/>
    <x v="1"/>
    <n v="45396.599671655094"/>
    <x v="8"/>
    <x v="0"/>
    <s v="ANON-0000-0000-0012"/>
    <x v="1"/>
    <x v="2"/>
  </r>
  <r>
    <x v="44"/>
    <x v="0"/>
    <x v="1"/>
    <n v="45396.600311689814"/>
    <x v="8"/>
    <x v="0"/>
    <s v="ANON-0000-0000-0012"/>
    <x v="1"/>
    <x v="2"/>
  </r>
  <r>
    <x v="44"/>
    <x v="0"/>
    <x v="1"/>
    <n v="45396.600904189814"/>
    <x v="8"/>
    <x v="0"/>
    <s v="ANON-0000-0000-0012"/>
    <x v="1"/>
    <x v="2"/>
  </r>
  <r>
    <x v="44"/>
    <x v="0"/>
    <x v="1"/>
    <n v="45396.657265428243"/>
    <x v="3"/>
    <x v="0"/>
    <s v="ANON-0000-0000-0017"/>
    <x v="0"/>
    <x v="7"/>
  </r>
  <r>
    <x v="44"/>
    <x v="0"/>
    <x v="1"/>
    <n v="45396.708273414355"/>
    <x v="4"/>
    <x v="0"/>
    <s v="ANON-0000-0000-0012"/>
    <x v="1"/>
    <x v="5"/>
  </r>
  <r>
    <x v="44"/>
    <x v="0"/>
    <x v="1"/>
    <n v="45396.708858645834"/>
    <x v="9"/>
    <x v="0"/>
    <s v="ANON-0000-0000-0019"/>
    <x v="0"/>
    <x v="0"/>
  </r>
  <r>
    <x v="44"/>
    <x v="0"/>
    <x v="1"/>
    <n v="45396.77661630787"/>
    <x v="5"/>
    <x v="0"/>
    <s v="ANON-0000-0000-0115"/>
    <x v="0"/>
    <x v="7"/>
  </r>
  <r>
    <x v="45"/>
    <x v="0"/>
    <x v="1"/>
    <n v="45397.489868275465"/>
    <x v="7"/>
    <x v="0"/>
    <s v="ANON-0000-0000-0064"/>
    <x v="1"/>
    <x v="2"/>
  </r>
  <r>
    <x v="45"/>
    <x v="0"/>
    <x v="1"/>
    <n v="45397.709564340279"/>
    <x v="9"/>
    <x v="0"/>
    <s v="ANON-0000-0000-0003"/>
    <x v="1"/>
    <x v="2"/>
  </r>
  <r>
    <x v="45"/>
    <x v="0"/>
    <x v="1"/>
    <n v="45397.71029800926"/>
    <x v="9"/>
    <x v="0"/>
    <s v="ANON-0000-0000-0004"/>
    <x v="2"/>
    <x v="3"/>
  </r>
  <r>
    <x v="45"/>
    <x v="0"/>
    <x v="1"/>
    <n v="45397.814618472221"/>
    <x v="6"/>
    <x v="0"/>
    <s v="ANON-0000-0000-0009"/>
    <x v="2"/>
    <x v="3"/>
  </r>
  <r>
    <x v="45"/>
    <x v="0"/>
    <x v="1"/>
    <n v="45397.820811481484"/>
    <x v="6"/>
    <x v="1"/>
    <m/>
    <x v="7"/>
    <x v="6"/>
  </r>
  <r>
    <x v="46"/>
    <x v="0"/>
    <x v="1"/>
    <n v="45398.447105405095"/>
    <x v="0"/>
    <x v="1"/>
    <m/>
    <x v="5"/>
    <x v="3"/>
  </r>
  <r>
    <x v="46"/>
    <x v="0"/>
    <x v="1"/>
    <n v="45398.448908634258"/>
    <x v="0"/>
    <x v="0"/>
    <s v="ANON-0000-0000-0116"/>
    <x v="2"/>
    <x v="3"/>
  </r>
  <r>
    <x v="46"/>
    <x v="0"/>
    <x v="1"/>
    <n v="45398.52832957176"/>
    <x v="1"/>
    <x v="0"/>
    <s v="ANON-0000-0000-0117"/>
    <x v="0"/>
    <x v="4"/>
  </r>
  <r>
    <x v="46"/>
    <x v="0"/>
    <x v="1"/>
    <n v="45398.536200810187"/>
    <x v="1"/>
    <x v="0"/>
    <s v="ANON-0000-0000-0064"/>
    <x v="1"/>
    <x v="5"/>
  </r>
  <r>
    <x v="46"/>
    <x v="0"/>
    <x v="1"/>
    <n v="45398.627278807871"/>
    <x v="3"/>
    <x v="0"/>
    <s v="ANON-0000-0000-0118"/>
    <x v="1"/>
    <x v="2"/>
  </r>
  <r>
    <x v="46"/>
    <x v="0"/>
    <x v="1"/>
    <n v="45398.737548703706"/>
    <x v="9"/>
    <x v="0"/>
    <s v="ANON-0000-0000-0024"/>
    <x v="2"/>
    <x v="3"/>
  </r>
  <r>
    <x v="46"/>
    <x v="0"/>
    <x v="1"/>
    <n v="45398.738460185188"/>
    <x v="9"/>
    <x v="0"/>
    <s v="ANON-0000-0000-0009"/>
    <x v="0"/>
    <x v="7"/>
  </r>
  <r>
    <x v="46"/>
    <x v="0"/>
    <x v="1"/>
    <n v="45398.756311030091"/>
    <x v="5"/>
    <x v="0"/>
    <s v="ANON-0000-0000-0050"/>
    <x v="0"/>
    <x v="4"/>
  </r>
  <r>
    <x v="47"/>
    <x v="0"/>
    <x v="1"/>
    <n v="45399.564580925929"/>
    <x v="2"/>
    <x v="0"/>
    <s v="ANON-0000-0000-0012"/>
    <x v="1"/>
    <x v="2"/>
  </r>
  <r>
    <x v="47"/>
    <x v="0"/>
    <x v="1"/>
    <n v="45399.572224317133"/>
    <x v="2"/>
    <x v="0"/>
    <s v="ANON-0000-0000-0119"/>
    <x v="4"/>
    <x v="6"/>
  </r>
  <r>
    <x v="47"/>
    <x v="0"/>
    <x v="1"/>
    <n v="45399.675975810183"/>
    <x v="4"/>
    <x v="1"/>
    <m/>
    <x v="3"/>
    <x v="7"/>
  </r>
  <r>
    <x v="47"/>
    <x v="0"/>
    <x v="1"/>
    <n v="45399.709434594908"/>
    <x v="9"/>
    <x v="0"/>
    <s v="ANON-0000-0000-0120"/>
    <x v="0"/>
    <x v="7"/>
  </r>
  <r>
    <x v="47"/>
    <x v="0"/>
    <x v="1"/>
    <n v="45399.710193136576"/>
    <x v="9"/>
    <x v="0"/>
    <s v="ANON-0000-0000-0120"/>
    <x v="0"/>
    <x v="7"/>
  </r>
  <r>
    <x v="47"/>
    <x v="0"/>
    <x v="1"/>
    <n v="45399.759759594905"/>
    <x v="5"/>
    <x v="0"/>
    <s v="ANON-0000-0000-0121"/>
    <x v="1"/>
    <x v="5"/>
  </r>
  <r>
    <x v="48"/>
    <x v="0"/>
    <x v="1"/>
    <n v="45400.471547372683"/>
    <x v="7"/>
    <x v="0"/>
    <s v="ANON-0000-0000-0003"/>
    <x v="1"/>
    <x v="2"/>
  </r>
  <r>
    <x v="48"/>
    <x v="0"/>
    <x v="1"/>
    <n v="45400.47228814815"/>
    <x v="7"/>
    <x v="0"/>
    <s v="ANON-0000-0000-0003"/>
    <x v="1"/>
    <x v="2"/>
  </r>
  <r>
    <x v="48"/>
    <x v="0"/>
    <x v="1"/>
    <n v="45400.575841666665"/>
    <x v="2"/>
    <x v="0"/>
    <s v="ANON-0000-0000-0122"/>
    <x v="2"/>
    <x v="3"/>
  </r>
  <r>
    <x v="48"/>
    <x v="0"/>
    <x v="1"/>
    <n v="45400.576588946758"/>
    <x v="2"/>
    <x v="0"/>
    <s v="ANON-0000-0000-0122"/>
    <x v="1"/>
    <x v="5"/>
  </r>
  <r>
    <x v="48"/>
    <x v="0"/>
    <x v="1"/>
    <n v="45400.607173819444"/>
    <x v="8"/>
    <x v="0"/>
    <s v="ANON-0000-0000-0123"/>
    <x v="0"/>
    <x v="7"/>
  </r>
  <r>
    <x v="48"/>
    <x v="0"/>
    <x v="1"/>
    <n v="45400.608210115737"/>
    <x v="8"/>
    <x v="0"/>
    <s v="ANON-0000-0000-0123"/>
    <x v="0"/>
    <x v="0"/>
  </r>
  <r>
    <x v="48"/>
    <x v="0"/>
    <x v="1"/>
    <n v="45400.739071655094"/>
    <x v="9"/>
    <x v="0"/>
    <s v="ANON-0000-0000-0069"/>
    <x v="0"/>
    <x v="0"/>
  </r>
  <r>
    <x v="48"/>
    <x v="0"/>
    <x v="1"/>
    <n v="45400.764652141203"/>
    <x v="5"/>
    <x v="0"/>
    <s v="ANON-0000-0000-0085"/>
    <x v="0"/>
    <x v="7"/>
  </r>
  <r>
    <x v="48"/>
    <x v="0"/>
    <x v="1"/>
    <n v="45400.819342511575"/>
    <x v="6"/>
    <x v="0"/>
    <s v="ANON-0000-0000-0024"/>
    <x v="0"/>
    <x v="1"/>
  </r>
  <r>
    <x v="48"/>
    <x v="0"/>
    <x v="1"/>
    <n v="45400.820011041666"/>
    <x v="6"/>
    <x v="0"/>
    <s v="ANON-0000-0000-0009"/>
    <x v="0"/>
    <x v="1"/>
  </r>
  <r>
    <x v="49"/>
    <x v="0"/>
    <x v="1"/>
    <n v="45401.424030717593"/>
    <x v="0"/>
    <x v="0"/>
    <s v="ANON-0000-0000-0001"/>
    <x v="0"/>
    <x v="0"/>
  </r>
  <r>
    <x v="49"/>
    <x v="0"/>
    <x v="1"/>
    <n v="45401.54985935185"/>
    <x v="2"/>
    <x v="0"/>
    <s v="ANON-0000-0000-0040"/>
    <x v="2"/>
    <x v="3"/>
  </r>
  <r>
    <x v="49"/>
    <x v="0"/>
    <x v="1"/>
    <n v="45401.550936064814"/>
    <x v="2"/>
    <x v="0"/>
    <s v="ANON-0000-0000-0040"/>
    <x v="0"/>
    <x v="7"/>
  </r>
  <r>
    <x v="49"/>
    <x v="0"/>
    <x v="1"/>
    <n v="45401.582570185186"/>
    <x v="2"/>
    <x v="0"/>
    <s v="ANON-0000-0000-0124"/>
    <x v="0"/>
    <x v="1"/>
  </r>
  <r>
    <x v="49"/>
    <x v="0"/>
    <x v="1"/>
    <n v="45401.583214004633"/>
    <x v="2"/>
    <x v="0"/>
    <s v="ANON-0000-0000-0124"/>
    <x v="0"/>
    <x v="7"/>
  </r>
  <r>
    <x v="49"/>
    <x v="0"/>
    <x v="1"/>
    <n v="45401.766195729164"/>
    <x v="5"/>
    <x v="0"/>
    <s v="ANON-0000-0000-0024"/>
    <x v="0"/>
    <x v="4"/>
  </r>
  <r>
    <x v="49"/>
    <x v="0"/>
    <x v="1"/>
    <n v="45401.767748148151"/>
    <x v="5"/>
    <x v="0"/>
    <s v="ANON-0000-0000-0009"/>
    <x v="2"/>
    <x v="3"/>
  </r>
  <r>
    <x v="50"/>
    <x v="0"/>
    <x v="1"/>
    <n v="45402.475493993057"/>
    <x v="7"/>
    <x v="1"/>
    <m/>
    <x v="5"/>
    <x v="3"/>
  </r>
  <r>
    <x v="50"/>
    <x v="0"/>
    <x v="1"/>
    <n v="45402.505968761572"/>
    <x v="1"/>
    <x v="0"/>
    <s v="ANON-0000-0000-0125"/>
    <x v="2"/>
    <x v="3"/>
  </r>
  <r>
    <x v="50"/>
    <x v="0"/>
    <x v="1"/>
    <n v="45402.506743796293"/>
    <x v="1"/>
    <x v="0"/>
    <s v="ANON-0000-0000-0125"/>
    <x v="2"/>
    <x v="3"/>
  </r>
  <r>
    <x v="50"/>
    <x v="0"/>
    <x v="1"/>
    <n v="45402.547654837967"/>
    <x v="2"/>
    <x v="0"/>
    <s v="ANON-0000-0000-0118"/>
    <x v="1"/>
    <x v="2"/>
  </r>
  <r>
    <x v="50"/>
    <x v="0"/>
    <x v="1"/>
    <n v="45402.548471122682"/>
    <x v="2"/>
    <x v="0"/>
    <s v="ANON-0000-0000-0118"/>
    <x v="2"/>
    <x v="3"/>
  </r>
  <r>
    <x v="50"/>
    <x v="0"/>
    <x v="1"/>
    <n v="45402.549249432872"/>
    <x v="2"/>
    <x v="0"/>
    <s v="ANON-0000-0000-0118"/>
    <x v="0"/>
    <x v="1"/>
  </r>
  <r>
    <x v="50"/>
    <x v="0"/>
    <x v="1"/>
    <n v="45402.614098587961"/>
    <x v="8"/>
    <x v="0"/>
    <s v="ANON-0000-0000-0040"/>
    <x v="0"/>
    <x v="7"/>
  </r>
  <r>
    <x v="50"/>
    <x v="0"/>
    <x v="1"/>
    <n v="45402.632642708333"/>
    <x v="3"/>
    <x v="0"/>
    <s v="ANON-0000-0000-0009"/>
    <x v="2"/>
    <x v="3"/>
  </r>
  <r>
    <x v="50"/>
    <x v="0"/>
    <x v="1"/>
    <n v="45402.640749039354"/>
    <x v="3"/>
    <x v="0"/>
    <s v="ANON-0000-0000-0012"/>
    <x v="8"/>
    <x v="3"/>
  </r>
  <r>
    <x v="50"/>
    <x v="0"/>
    <x v="1"/>
    <n v="45402.65931884259"/>
    <x v="3"/>
    <x v="0"/>
    <s v="ANON-0000-0000-0126"/>
    <x v="8"/>
    <x v="3"/>
  </r>
  <r>
    <x v="50"/>
    <x v="0"/>
    <x v="1"/>
    <n v="45402.713865381942"/>
    <x v="9"/>
    <x v="1"/>
    <m/>
    <x v="9"/>
    <x v="4"/>
  </r>
  <r>
    <x v="50"/>
    <x v="0"/>
    <x v="1"/>
    <n v="45402.76923027778"/>
    <x v="5"/>
    <x v="0"/>
    <s v="ANON-0000-0000-0127"/>
    <x v="10"/>
    <x v="7"/>
  </r>
  <r>
    <x v="50"/>
    <x v="0"/>
    <x v="1"/>
    <n v="45402.769987268519"/>
    <x v="5"/>
    <x v="0"/>
    <s v="ANON-0000-0000-0127"/>
    <x v="10"/>
    <x v="7"/>
  </r>
  <r>
    <x v="50"/>
    <x v="0"/>
    <x v="1"/>
    <n v="45402.813140243059"/>
    <x v="6"/>
    <x v="0"/>
    <s v="ANON-0000-0000-0128"/>
    <x v="10"/>
    <x v="0"/>
  </r>
  <r>
    <x v="51"/>
    <x v="0"/>
    <x v="1"/>
    <n v="45403.469973460647"/>
    <x v="7"/>
    <x v="0"/>
    <s v="ANON-0000-0000-0001"/>
    <x v="10"/>
    <x v="0"/>
  </r>
  <r>
    <x v="51"/>
    <x v="0"/>
    <x v="1"/>
    <n v="45403.594184502312"/>
    <x v="8"/>
    <x v="0"/>
    <s v="ANON-0000-0000-0099"/>
    <x v="11"/>
    <x v="2"/>
  </r>
  <r>
    <x v="51"/>
    <x v="0"/>
    <x v="1"/>
    <n v="45403.714620358798"/>
    <x v="9"/>
    <x v="1"/>
    <m/>
    <x v="9"/>
    <x v="7"/>
  </r>
  <r>
    <x v="52"/>
    <x v="0"/>
    <x v="1"/>
    <n v="45404.464773287036"/>
    <x v="7"/>
    <x v="0"/>
    <s v="ANON-0000-0000-0012"/>
    <x v="11"/>
    <x v="2"/>
  </r>
  <r>
    <x v="52"/>
    <x v="0"/>
    <x v="1"/>
    <n v="45404.478785868057"/>
    <x v="7"/>
    <x v="0"/>
    <s v="ANON-0000-0000-0129"/>
    <x v="8"/>
    <x v="3"/>
  </r>
  <r>
    <x v="52"/>
    <x v="0"/>
    <x v="1"/>
    <n v="45404.778160000002"/>
    <x v="5"/>
    <x v="1"/>
    <m/>
    <x v="9"/>
    <x v="0"/>
  </r>
  <r>
    <x v="52"/>
    <x v="0"/>
    <x v="1"/>
    <n v="45404.81880508102"/>
    <x v="6"/>
    <x v="0"/>
    <s v="ANON-0000-0000-0009"/>
    <x v="10"/>
    <x v="0"/>
  </r>
  <r>
    <x v="52"/>
    <x v="0"/>
    <x v="1"/>
    <n v="45404.835059780089"/>
    <x v="12"/>
    <x v="1"/>
    <m/>
    <x v="9"/>
    <x v="7"/>
  </r>
  <r>
    <x v="53"/>
    <x v="0"/>
    <x v="1"/>
    <n v="45405.599027719909"/>
    <x v="8"/>
    <x v="0"/>
    <s v="ANON-0000-0000-0025"/>
    <x v="10"/>
    <x v="7"/>
  </r>
  <r>
    <x v="53"/>
    <x v="0"/>
    <x v="1"/>
    <n v="45405.59992064815"/>
    <x v="8"/>
    <x v="0"/>
    <s v="ANON-0000-0000-0024"/>
    <x v="8"/>
    <x v="3"/>
  </r>
  <r>
    <x v="53"/>
    <x v="0"/>
    <x v="1"/>
    <n v="45405.600665682869"/>
    <x v="8"/>
    <x v="0"/>
    <s v="ANON-0000-0000-0009"/>
    <x v="10"/>
    <x v="7"/>
  </r>
  <r>
    <x v="53"/>
    <x v="0"/>
    <x v="1"/>
    <n v="45405.821154687503"/>
    <x v="6"/>
    <x v="0"/>
    <s v="ANON-0000-0000-0130"/>
    <x v="8"/>
    <x v="3"/>
  </r>
  <r>
    <x v="53"/>
    <x v="0"/>
    <x v="1"/>
    <n v="45405.821831412039"/>
    <x v="6"/>
    <x v="0"/>
    <s v="ANON-0000-0000-0130"/>
    <x v="8"/>
    <x v="3"/>
  </r>
  <r>
    <x v="54"/>
    <x v="0"/>
    <x v="1"/>
    <n v="45406.430304930553"/>
    <x v="0"/>
    <x v="0"/>
    <s v="ANON-0000-0000-0001"/>
    <x v="10"/>
    <x v="0"/>
  </r>
  <r>
    <x v="54"/>
    <x v="0"/>
    <x v="1"/>
    <n v="45406.43156582176"/>
    <x v="0"/>
    <x v="0"/>
    <s v="ANON-0000-0000-0131"/>
    <x v="8"/>
    <x v="3"/>
  </r>
  <r>
    <x v="54"/>
    <x v="0"/>
    <x v="1"/>
    <n v="45406.474839143521"/>
    <x v="7"/>
    <x v="0"/>
    <s v="ANON-0000-0000-0132"/>
    <x v="8"/>
    <x v="3"/>
  </r>
  <r>
    <x v="54"/>
    <x v="0"/>
    <x v="1"/>
    <n v="45406.481554942133"/>
    <x v="7"/>
    <x v="0"/>
    <s v="ANON-0000-0000-0133"/>
    <x v="8"/>
    <x v="3"/>
  </r>
  <r>
    <x v="54"/>
    <x v="0"/>
    <x v="1"/>
    <n v="45406.527190949077"/>
    <x v="1"/>
    <x v="0"/>
    <s v="ANON-0000-0000-0059"/>
    <x v="8"/>
    <x v="3"/>
  </r>
  <r>
    <x v="54"/>
    <x v="0"/>
    <x v="1"/>
    <n v="45406.693835914353"/>
    <x v="4"/>
    <x v="0"/>
    <s v="ANON-0000-0000-0009"/>
    <x v="8"/>
    <x v="3"/>
  </r>
  <r>
    <x v="54"/>
    <x v="0"/>
    <x v="1"/>
    <n v="45406.819328506943"/>
    <x v="6"/>
    <x v="0"/>
    <s v="ANON-0000-0000-0134"/>
    <x v="8"/>
    <x v="3"/>
  </r>
  <r>
    <x v="54"/>
    <x v="0"/>
    <x v="1"/>
    <n v="45406.820069803238"/>
    <x v="6"/>
    <x v="0"/>
    <s v="ANON-0000-0000-0134"/>
    <x v="10"/>
    <x v="7"/>
  </r>
  <r>
    <x v="55"/>
    <x v="0"/>
    <x v="1"/>
    <n v="45407.448704363429"/>
    <x v="0"/>
    <x v="0"/>
    <s v="ANON-0000-0000-0135"/>
    <x v="11"/>
    <x v="2"/>
  </r>
  <r>
    <x v="55"/>
    <x v="0"/>
    <x v="1"/>
    <n v="45407.63781216435"/>
    <x v="3"/>
    <x v="0"/>
    <s v="ANON-0000-0000-0009"/>
    <x v="10"/>
    <x v="0"/>
  </r>
  <r>
    <x v="55"/>
    <x v="0"/>
    <x v="1"/>
    <n v="45407.715087199074"/>
    <x v="9"/>
    <x v="0"/>
    <s v="ANON-0000-0000-0012"/>
    <x v="11"/>
    <x v="2"/>
  </r>
  <r>
    <x v="55"/>
    <x v="0"/>
    <x v="1"/>
    <n v="45407.715846678242"/>
    <x v="9"/>
    <x v="0"/>
    <s v="ANON-0000-0000-0012"/>
    <x v="11"/>
    <x v="2"/>
  </r>
  <r>
    <x v="56"/>
    <x v="0"/>
    <x v="1"/>
    <n v="45408.425585856479"/>
    <x v="0"/>
    <x v="0"/>
    <s v="ANON-0000-0000-0001"/>
    <x v="10"/>
    <x v="0"/>
  </r>
  <r>
    <x v="56"/>
    <x v="0"/>
    <x v="1"/>
    <n v="45408.501048379629"/>
    <x v="1"/>
    <x v="0"/>
    <s v="ANON-0000-0000-0136"/>
    <x v="10"/>
    <x v="0"/>
  </r>
  <r>
    <x v="56"/>
    <x v="0"/>
    <x v="1"/>
    <n v="45408.563521956021"/>
    <x v="2"/>
    <x v="0"/>
    <s v="ANON-0000-0000-0137"/>
    <x v="10"/>
    <x v="7"/>
  </r>
  <r>
    <x v="56"/>
    <x v="0"/>
    <x v="1"/>
    <n v="45408.647631828702"/>
    <x v="3"/>
    <x v="0"/>
    <s v="ANON-0000-0000-0012"/>
    <x v="11"/>
    <x v="2"/>
  </r>
  <r>
    <x v="56"/>
    <x v="0"/>
    <x v="1"/>
    <n v="45408.648300138891"/>
    <x v="3"/>
    <x v="0"/>
    <s v="ANON-0000-0000-0012"/>
    <x v="11"/>
    <x v="2"/>
  </r>
  <r>
    <x v="56"/>
    <x v="0"/>
    <x v="1"/>
    <n v="45408.682945763889"/>
    <x v="4"/>
    <x v="0"/>
    <s v="ANON-0000-0000-0138"/>
    <x v="11"/>
    <x v="5"/>
  </r>
  <r>
    <x v="56"/>
    <x v="0"/>
    <x v="1"/>
    <n v="45408.683724537033"/>
    <x v="4"/>
    <x v="0"/>
    <s v="ANON-0000-0000-0139"/>
    <x v="11"/>
    <x v="2"/>
  </r>
  <r>
    <x v="56"/>
    <x v="0"/>
    <x v="1"/>
    <n v="45408.813971203701"/>
    <x v="6"/>
    <x v="0"/>
    <s v="ANON-0000-0000-0009"/>
    <x v="10"/>
    <x v="1"/>
  </r>
  <r>
    <x v="56"/>
    <x v="0"/>
    <x v="1"/>
    <n v="45408.81493310185"/>
    <x v="6"/>
    <x v="0"/>
    <s v="ANON-0000-0000-0009"/>
    <x v="10"/>
    <x v="4"/>
  </r>
  <r>
    <x v="57"/>
    <x v="0"/>
    <x v="1"/>
    <n v="45409.64375787037"/>
    <x v="3"/>
    <x v="0"/>
    <s v="ANON-0000-0000-0009"/>
    <x v="10"/>
    <x v="7"/>
  </r>
  <r>
    <x v="58"/>
    <x v="0"/>
    <x v="1"/>
    <n v="45410.439496284722"/>
    <x v="0"/>
    <x v="0"/>
    <s v="ANON-0000-0000-0001"/>
    <x v="10"/>
    <x v="0"/>
  </r>
  <r>
    <x v="58"/>
    <x v="0"/>
    <x v="1"/>
    <n v="45410.520946168981"/>
    <x v="1"/>
    <x v="0"/>
    <s v="ANON-0000-0000-0140"/>
    <x v="10"/>
    <x v="7"/>
  </r>
  <r>
    <x v="58"/>
    <x v="0"/>
    <x v="1"/>
    <n v="45410.768845254628"/>
    <x v="5"/>
    <x v="0"/>
    <s v="ANON-0000-0000-0012"/>
    <x v="11"/>
    <x v="2"/>
  </r>
  <r>
    <x v="58"/>
    <x v="0"/>
    <x v="1"/>
    <n v="45410.769576516206"/>
    <x v="5"/>
    <x v="0"/>
    <s v="ANON-0000-0000-0012"/>
    <x v="11"/>
    <x v="2"/>
  </r>
  <r>
    <x v="58"/>
    <x v="0"/>
    <x v="1"/>
    <n v="45410.770166365743"/>
    <x v="5"/>
    <x v="0"/>
    <s v="ANON-0000-0000-0019"/>
    <x v="10"/>
    <x v="0"/>
  </r>
  <r>
    <x v="59"/>
    <x v="0"/>
    <x v="1"/>
    <n v="45411.476757766206"/>
    <x v="7"/>
    <x v="0"/>
    <s v="ANON-0000-0000-0141"/>
    <x v="11"/>
    <x v="5"/>
  </r>
  <r>
    <x v="59"/>
    <x v="0"/>
    <x v="1"/>
    <n v="45411.561075798614"/>
    <x v="2"/>
    <x v="0"/>
    <s v="ANON-0000-0000-0003"/>
    <x v="11"/>
    <x v="2"/>
  </r>
  <r>
    <x v="59"/>
    <x v="0"/>
    <x v="1"/>
    <n v="45411.56173494213"/>
    <x v="2"/>
    <x v="0"/>
    <s v="ANON-0000-0000-0003"/>
    <x v="11"/>
    <x v="5"/>
  </r>
  <r>
    <x v="59"/>
    <x v="0"/>
    <x v="1"/>
    <n v="45411.578885763891"/>
    <x v="2"/>
    <x v="0"/>
    <s v="ANON-0000-0000-0141"/>
    <x v="11"/>
    <x v="5"/>
  </r>
  <r>
    <x v="59"/>
    <x v="0"/>
    <x v="1"/>
    <n v="45411.579448576391"/>
    <x v="2"/>
    <x v="0"/>
    <s v="ANON-0000-0000-0141"/>
    <x v="8"/>
    <x v="3"/>
  </r>
  <r>
    <x v="59"/>
    <x v="0"/>
    <x v="1"/>
    <n v="45411.776254699071"/>
    <x v="5"/>
    <x v="0"/>
    <s v="ANON-0000-0000-0140"/>
    <x v="10"/>
    <x v="7"/>
  </r>
  <r>
    <x v="59"/>
    <x v="0"/>
    <x v="1"/>
    <n v="45411.800384189817"/>
    <x v="6"/>
    <x v="0"/>
    <s v="ANON-0000-0000-0134"/>
    <x v="10"/>
    <x v="7"/>
  </r>
  <r>
    <x v="59"/>
    <x v="0"/>
    <x v="1"/>
    <n v="45411.80113284722"/>
    <x v="6"/>
    <x v="0"/>
    <s v="ANON-0000-0000-0134"/>
    <x v="10"/>
    <x v="7"/>
  </r>
  <r>
    <x v="60"/>
    <x v="0"/>
    <x v="1"/>
    <n v="45412.428258020831"/>
    <x v="0"/>
    <x v="0"/>
    <s v="ANON-0000-0000-0142"/>
    <x v="10"/>
    <x v="0"/>
  </r>
  <r>
    <x v="60"/>
    <x v="0"/>
    <x v="1"/>
    <n v="45412.440882523151"/>
    <x v="0"/>
    <x v="0"/>
    <s v="ANON-0000-0000-0142"/>
    <x v="8"/>
    <x v="3"/>
  </r>
  <r>
    <x v="60"/>
    <x v="0"/>
    <x v="1"/>
    <n v="45412.441523344911"/>
    <x v="0"/>
    <x v="0"/>
    <s v="ANON-0000-0000-0142"/>
    <x v="8"/>
    <x v="3"/>
  </r>
  <r>
    <x v="60"/>
    <x v="0"/>
    <x v="1"/>
    <n v="45412.570744502314"/>
    <x v="2"/>
    <x v="0"/>
    <s v="ANON-0000-0000-0142"/>
    <x v="11"/>
    <x v="2"/>
  </r>
  <r>
    <x v="60"/>
    <x v="0"/>
    <x v="1"/>
    <n v="45412.571527511573"/>
    <x v="2"/>
    <x v="0"/>
    <s v="ANON-0000-0000-0142"/>
    <x v="8"/>
    <x v="3"/>
  </r>
  <r>
    <x v="60"/>
    <x v="0"/>
    <x v="1"/>
    <n v="45412.805071053241"/>
    <x v="6"/>
    <x v="0"/>
    <s v="ANON-0000-0000-0142"/>
    <x v="10"/>
    <x v="7"/>
  </r>
  <r>
    <x v="60"/>
    <x v="0"/>
    <x v="1"/>
    <n v="45412.812546331021"/>
    <x v="6"/>
    <x v="0"/>
    <s v="ANON-0000-0000-0142"/>
    <x v="8"/>
    <x v="3"/>
  </r>
  <r>
    <x v="60"/>
    <x v="0"/>
    <x v="1"/>
    <n v="45412.813436944445"/>
    <x v="6"/>
    <x v="0"/>
    <s v="ANON-0000-0000-0142"/>
    <x v="10"/>
    <x v="0"/>
  </r>
  <r>
    <x v="61"/>
    <x v="0"/>
    <x v="2"/>
    <n v="45414.440228541665"/>
    <x v="0"/>
    <x v="0"/>
    <s v="ANON-0000-0000-0143"/>
    <x v="11"/>
    <x v="2"/>
  </r>
  <r>
    <x v="61"/>
    <x v="0"/>
    <x v="2"/>
    <n v="45414.479132870372"/>
    <x v="7"/>
    <x v="1"/>
    <m/>
    <x v="9"/>
    <x v="0"/>
  </r>
  <r>
    <x v="61"/>
    <x v="0"/>
    <x v="2"/>
    <n v="45414.576156226853"/>
    <x v="2"/>
    <x v="0"/>
    <s v="ANON-0000-0000-0133"/>
    <x v="8"/>
    <x v="3"/>
  </r>
  <r>
    <x v="61"/>
    <x v="0"/>
    <x v="2"/>
    <n v="45414.775256226851"/>
    <x v="5"/>
    <x v="0"/>
    <s v="ANON-0000-0000-0144"/>
    <x v="10"/>
    <x v="7"/>
  </r>
  <r>
    <x v="61"/>
    <x v="0"/>
    <x v="2"/>
    <n v="45414.77860208333"/>
    <x v="5"/>
    <x v="0"/>
    <s v="ANON-0000-0000-0024"/>
    <x v="8"/>
    <x v="3"/>
  </r>
  <r>
    <x v="61"/>
    <x v="0"/>
    <x v="2"/>
    <n v="45414.804549583336"/>
    <x v="6"/>
    <x v="0"/>
    <s v="ANON-0000-0000-0145"/>
    <x v="10"/>
    <x v="0"/>
  </r>
  <r>
    <x v="61"/>
    <x v="0"/>
    <x v="2"/>
    <n v="45414.805513414351"/>
    <x v="6"/>
    <x v="0"/>
    <s v="ANON-0000-0000-0145"/>
    <x v="10"/>
    <x v="7"/>
  </r>
  <r>
    <x v="62"/>
    <x v="0"/>
    <x v="2"/>
    <n v="45415.424923599538"/>
    <x v="0"/>
    <x v="1"/>
    <m/>
    <x v="9"/>
    <x v="0"/>
  </r>
  <r>
    <x v="62"/>
    <x v="0"/>
    <x v="2"/>
    <n v="45415.604177349538"/>
    <x v="8"/>
    <x v="0"/>
    <s v="ANON-0000-0000-0146"/>
    <x v="10"/>
    <x v="0"/>
  </r>
  <r>
    <x v="62"/>
    <x v="0"/>
    <x v="2"/>
    <n v="45415.71070491898"/>
    <x v="9"/>
    <x v="0"/>
    <s v="ANON-0000-0000-0147"/>
    <x v="10"/>
    <x v="0"/>
  </r>
  <r>
    <x v="63"/>
    <x v="0"/>
    <x v="2"/>
    <n v="45418.420346296298"/>
    <x v="0"/>
    <x v="0"/>
    <s v="ANON-0000-0000-0148"/>
    <x v="11"/>
    <x v="2"/>
  </r>
  <r>
    <x v="63"/>
    <x v="0"/>
    <x v="2"/>
    <n v="45418.421430844908"/>
    <x v="0"/>
    <x v="0"/>
    <s v="ANON-0000-0000-0149"/>
    <x v="10"/>
    <x v="7"/>
  </r>
  <r>
    <x v="63"/>
    <x v="0"/>
    <x v="2"/>
    <n v="45418.42229008102"/>
    <x v="0"/>
    <x v="0"/>
    <s v="ANON-0000-0000-0149"/>
    <x v="8"/>
    <x v="3"/>
  </r>
  <r>
    <x v="63"/>
    <x v="0"/>
    <x v="2"/>
    <n v="45418.423008993057"/>
    <x v="0"/>
    <x v="0"/>
    <s v="ANON-0000-0000-0150"/>
    <x v="11"/>
    <x v="2"/>
  </r>
  <r>
    <x v="63"/>
    <x v="0"/>
    <x v="2"/>
    <n v="45418.443896307872"/>
    <x v="0"/>
    <x v="0"/>
    <s v="ANON-0000-0000-0141"/>
    <x v="11"/>
    <x v="5"/>
  </r>
  <r>
    <x v="63"/>
    <x v="0"/>
    <x v="2"/>
    <n v="45418.482183333334"/>
    <x v="7"/>
    <x v="1"/>
    <m/>
    <x v="12"/>
    <x v="2"/>
  </r>
  <r>
    <x v="63"/>
    <x v="0"/>
    <x v="2"/>
    <n v="45418.554293865738"/>
    <x v="2"/>
    <x v="0"/>
    <s v="ANON-0000-0000-0148"/>
    <x v="11"/>
    <x v="5"/>
  </r>
  <r>
    <x v="63"/>
    <x v="0"/>
    <x v="2"/>
    <n v="45418.554870497683"/>
    <x v="2"/>
    <x v="0"/>
    <s v="ANON-0000-0000-0148"/>
    <x v="11"/>
    <x v="2"/>
  </r>
  <r>
    <x v="63"/>
    <x v="0"/>
    <x v="2"/>
    <n v="45418.804317002316"/>
    <x v="6"/>
    <x v="0"/>
    <s v="ANON-0000-0000-0151"/>
    <x v="10"/>
    <x v="7"/>
  </r>
  <r>
    <x v="63"/>
    <x v="0"/>
    <x v="2"/>
    <n v="45418.80543458333"/>
    <x v="6"/>
    <x v="0"/>
    <s v="ANON-0000-0000-0151"/>
    <x v="10"/>
    <x v="7"/>
  </r>
  <r>
    <x v="64"/>
    <x v="0"/>
    <x v="2"/>
    <n v="45419.447865532406"/>
    <x v="0"/>
    <x v="0"/>
    <s v="ANON-0000-0000-0148"/>
    <x v="10"/>
    <x v="4"/>
  </r>
  <r>
    <x v="64"/>
    <x v="0"/>
    <x v="2"/>
    <n v="45419.473593668983"/>
    <x v="7"/>
    <x v="0"/>
    <s v="ANON-0000-0000-0141"/>
    <x v="11"/>
    <x v="5"/>
  </r>
  <r>
    <x v="64"/>
    <x v="0"/>
    <x v="2"/>
    <n v="45419.558043321762"/>
    <x v="2"/>
    <x v="0"/>
    <s v="ANON-0000-0000-0077"/>
    <x v="11"/>
    <x v="5"/>
  </r>
  <r>
    <x v="64"/>
    <x v="0"/>
    <x v="2"/>
    <n v="45419.695924768515"/>
    <x v="4"/>
    <x v="0"/>
    <s v="ANON-0000-0000-0148"/>
    <x v="10"/>
    <x v="4"/>
  </r>
  <r>
    <x v="64"/>
    <x v="0"/>
    <x v="2"/>
    <n v="45419.705310243058"/>
    <x v="4"/>
    <x v="0"/>
    <s v="ANON-0000-0000-0152"/>
    <x v="11"/>
    <x v="2"/>
  </r>
  <r>
    <x v="64"/>
    <x v="0"/>
    <x v="2"/>
    <n v="45419.734564953702"/>
    <x v="9"/>
    <x v="0"/>
    <s v="ANON-0000-0000-0153"/>
    <x v="10"/>
    <x v="7"/>
  </r>
  <r>
    <x v="64"/>
    <x v="0"/>
    <x v="2"/>
    <n v="45419.735280034722"/>
    <x v="9"/>
    <x v="0"/>
    <s v="ANON-0000-0000-0153"/>
    <x v="10"/>
    <x v="0"/>
  </r>
  <r>
    <x v="64"/>
    <x v="0"/>
    <x v="2"/>
    <n v="45419.774736516207"/>
    <x v="5"/>
    <x v="1"/>
    <m/>
    <x v="13"/>
    <x v="3"/>
  </r>
  <r>
    <x v="64"/>
    <x v="0"/>
    <x v="2"/>
    <n v="45419.800144953704"/>
    <x v="6"/>
    <x v="0"/>
    <s v="ANON-0000-0000-0154"/>
    <x v="10"/>
    <x v="7"/>
  </r>
  <r>
    <x v="64"/>
    <x v="0"/>
    <x v="2"/>
    <n v="45419.800835590278"/>
    <x v="6"/>
    <x v="0"/>
    <s v="ANON-0000-0000-0154"/>
    <x v="10"/>
    <x v="7"/>
  </r>
  <r>
    <x v="65"/>
    <x v="0"/>
    <x v="2"/>
    <n v="45420.421861840281"/>
    <x v="0"/>
    <x v="0"/>
    <s v="ANON-0000-0000-0001"/>
    <x v="10"/>
    <x v="0"/>
  </r>
  <r>
    <x v="66"/>
    <x v="0"/>
    <x v="2"/>
    <n v="45421.537752453703"/>
    <x v="1"/>
    <x v="0"/>
    <s v="ANON-0000-0000-0155"/>
    <x v="10"/>
    <x v="7"/>
  </r>
  <r>
    <x v="66"/>
    <x v="0"/>
    <x v="2"/>
    <n v="45421.544427731482"/>
    <x v="2"/>
    <x v="0"/>
    <s v="ANON-0000-0000-0156"/>
    <x v="11"/>
    <x v="2"/>
  </r>
  <r>
    <x v="66"/>
    <x v="0"/>
    <x v="2"/>
    <n v="45421.54511165509"/>
    <x v="2"/>
    <x v="0"/>
    <s v="ANON-0000-0000-0156"/>
    <x v="10"/>
    <x v="0"/>
  </r>
  <r>
    <x v="66"/>
    <x v="0"/>
    <x v="2"/>
    <n v="45421.545963668985"/>
    <x v="2"/>
    <x v="0"/>
    <s v="ANON-0000-0000-0156"/>
    <x v="10"/>
    <x v="0"/>
  </r>
  <r>
    <x v="66"/>
    <x v="0"/>
    <x v="2"/>
    <n v="45421.546717696758"/>
    <x v="2"/>
    <x v="0"/>
    <s v="ANON-0000-0000-0156"/>
    <x v="10"/>
    <x v="0"/>
  </r>
  <r>
    <x v="66"/>
    <x v="0"/>
    <x v="2"/>
    <n v="45421.705030104167"/>
    <x v="4"/>
    <x v="0"/>
    <s v="ANON-0000-0000-0118"/>
    <x v="11"/>
    <x v="2"/>
  </r>
  <r>
    <x v="66"/>
    <x v="0"/>
    <x v="2"/>
    <n v="45421.70572903935"/>
    <x v="4"/>
    <x v="0"/>
    <s v="ANON-0000-0000-0118"/>
    <x v="11"/>
    <x v="2"/>
  </r>
  <r>
    <x v="66"/>
    <x v="0"/>
    <x v="2"/>
    <n v="45421.751040451389"/>
    <x v="5"/>
    <x v="0"/>
    <s v="ANON-0000-0000-0157"/>
    <x v="11"/>
    <x v="2"/>
  </r>
  <r>
    <x v="66"/>
    <x v="0"/>
    <x v="2"/>
    <n v="45421.759678541668"/>
    <x v="5"/>
    <x v="0"/>
    <s v="ANON-0000-0000-0143"/>
    <x v="8"/>
    <x v="3"/>
  </r>
  <r>
    <x v="67"/>
    <x v="0"/>
    <x v="2"/>
    <n v="45422.423170972223"/>
    <x v="0"/>
    <x v="1"/>
    <m/>
    <x v="9"/>
    <x v="0"/>
  </r>
  <r>
    <x v="67"/>
    <x v="0"/>
    <x v="2"/>
    <n v="45422.65719341435"/>
    <x v="3"/>
    <x v="0"/>
    <s v="ANON-0000-0000-0158"/>
    <x v="10"/>
    <x v="0"/>
  </r>
  <r>
    <x v="67"/>
    <x v="0"/>
    <x v="2"/>
    <n v="45422.658015138892"/>
    <x v="3"/>
    <x v="0"/>
    <s v="ANON-0000-0000-0158"/>
    <x v="10"/>
    <x v="0"/>
  </r>
  <r>
    <x v="67"/>
    <x v="0"/>
    <x v="2"/>
    <n v="45422.680730138891"/>
    <x v="4"/>
    <x v="1"/>
    <m/>
    <x v="13"/>
    <x v="3"/>
  </r>
  <r>
    <x v="68"/>
    <x v="0"/>
    <x v="2"/>
    <n v="45423.486028680556"/>
    <x v="7"/>
    <x v="0"/>
    <s v="ANON-0000-0000-0069"/>
    <x v="10"/>
    <x v="0"/>
  </r>
  <r>
    <x v="68"/>
    <x v="0"/>
    <x v="2"/>
    <n v="45423.710227407406"/>
    <x v="9"/>
    <x v="1"/>
    <m/>
    <x v="9"/>
    <x v="0"/>
  </r>
  <r>
    <x v="68"/>
    <x v="0"/>
    <x v="2"/>
    <n v="45423.722574050924"/>
    <x v="9"/>
    <x v="0"/>
    <s v="ANON-0000-0000-0009"/>
    <x v="8"/>
    <x v="3"/>
  </r>
  <r>
    <x v="68"/>
    <x v="0"/>
    <x v="2"/>
    <n v="45423.723566168985"/>
    <x v="9"/>
    <x v="0"/>
    <s v="ANON-0000-0000-0026"/>
    <x v="10"/>
    <x v="4"/>
  </r>
  <r>
    <x v="68"/>
    <x v="0"/>
    <x v="2"/>
    <n v="45423.724968761577"/>
    <x v="9"/>
    <x v="0"/>
    <s v="ANON-0000-0000-0040"/>
    <x v="10"/>
    <x v="7"/>
  </r>
  <r>
    <x v="68"/>
    <x v="0"/>
    <x v="2"/>
    <n v="45423.728404305555"/>
    <x v="9"/>
    <x v="0"/>
    <s v="ANON-0000-0000-0012"/>
    <x v="8"/>
    <x v="3"/>
  </r>
  <r>
    <x v="68"/>
    <x v="0"/>
    <x v="2"/>
    <n v="45423.774771493052"/>
    <x v="5"/>
    <x v="0"/>
    <s v="ANON-0000-0000-0115"/>
    <x v="10"/>
    <x v="7"/>
  </r>
  <r>
    <x v="68"/>
    <x v="0"/>
    <x v="2"/>
    <n v="45423.818241851855"/>
    <x v="6"/>
    <x v="0"/>
    <s v="ANON-0000-0000-0159"/>
    <x v="10"/>
    <x v="0"/>
  </r>
  <r>
    <x v="69"/>
    <x v="0"/>
    <x v="2"/>
    <n v="45424.431047592596"/>
    <x v="0"/>
    <x v="0"/>
    <s v="ANON-0000-0000-0001"/>
    <x v="10"/>
    <x v="0"/>
  </r>
  <r>
    <x v="69"/>
    <x v="0"/>
    <x v="2"/>
    <n v="45424.558373437503"/>
    <x v="2"/>
    <x v="0"/>
    <s v="ANON-0000-0000-0160"/>
    <x v="10"/>
    <x v="0"/>
  </r>
  <r>
    <x v="69"/>
    <x v="0"/>
    <x v="2"/>
    <n v="45424.560868553242"/>
    <x v="2"/>
    <x v="0"/>
    <s v="ANON-0000-0000-0161"/>
    <x v="11"/>
    <x v="2"/>
  </r>
  <r>
    <x v="69"/>
    <x v="0"/>
    <x v="2"/>
    <n v="45424.63634045139"/>
    <x v="3"/>
    <x v="0"/>
    <s v="ANON-0000-0000-0077"/>
    <x v="10"/>
    <x v="0"/>
  </r>
  <r>
    <x v="69"/>
    <x v="0"/>
    <x v="2"/>
    <n v="45424.651416921297"/>
    <x v="3"/>
    <x v="0"/>
    <s v="ANON-0000-0000-0162"/>
    <x v="8"/>
    <x v="3"/>
  </r>
  <r>
    <x v="69"/>
    <x v="0"/>
    <x v="2"/>
    <n v="45424.661283229165"/>
    <x v="3"/>
    <x v="0"/>
    <s v="ANON-0000-0000-0163"/>
    <x v="8"/>
    <x v="3"/>
  </r>
  <r>
    <x v="69"/>
    <x v="0"/>
    <x v="2"/>
    <n v="45424.66968903935"/>
    <x v="4"/>
    <x v="0"/>
    <s v="ANON-0000-0000-0012"/>
    <x v="8"/>
    <x v="3"/>
  </r>
  <r>
    <x v="69"/>
    <x v="0"/>
    <x v="2"/>
    <n v="45424.820492696759"/>
    <x v="6"/>
    <x v="0"/>
    <s v="ANON-0000-0000-0009"/>
    <x v="8"/>
    <x v="3"/>
  </r>
  <r>
    <x v="70"/>
    <x v="0"/>
    <x v="2"/>
    <n v="45425.461034120373"/>
    <x v="7"/>
    <x v="0"/>
    <s v="ANON-0000-0000-0164"/>
    <x v="8"/>
    <x v="3"/>
  </r>
  <r>
    <x v="70"/>
    <x v="0"/>
    <x v="2"/>
    <n v="45425.64665234954"/>
    <x v="3"/>
    <x v="1"/>
    <m/>
    <x v="12"/>
    <x v="2"/>
  </r>
  <r>
    <x v="70"/>
    <x v="0"/>
    <x v="2"/>
    <n v="45425.647116979169"/>
    <x v="3"/>
    <x v="1"/>
    <m/>
    <x v="12"/>
    <x v="2"/>
  </r>
  <r>
    <x v="71"/>
    <x v="0"/>
    <x v="2"/>
    <n v="45426.359890983797"/>
    <x v="13"/>
    <x v="0"/>
    <s v="ANON-0000-0000-0012"/>
    <x v="11"/>
    <x v="2"/>
  </r>
  <r>
    <x v="71"/>
    <x v="0"/>
    <x v="2"/>
    <n v="45426.360711284724"/>
    <x v="13"/>
    <x v="0"/>
    <s v="ANON-0000-0000-0012"/>
    <x v="11"/>
    <x v="2"/>
  </r>
  <r>
    <x v="71"/>
    <x v="0"/>
    <x v="2"/>
    <n v="45426.361313472225"/>
    <x v="13"/>
    <x v="0"/>
    <s v="ANON-0000-0000-0012"/>
    <x v="11"/>
    <x v="2"/>
  </r>
  <r>
    <x v="71"/>
    <x v="0"/>
    <x v="2"/>
    <n v="45426.430129328706"/>
    <x v="0"/>
    <x v="0"/>
    <s v="ANON-0000-0000-0012"/>
    <x v="10"/>
    <x v="7"/>
  </r>
  <r>
    <x v="71"/>
    <x v="0"/>
    <x v="2"/>
    <n v="45426.480895509259"/>
    <x v="7"/>
    <x v="0"/>
    <s v="ANON-0000-0000-0165"/>
    <x v="10"/>
    <x v="0"/>
  </r>
  <r>
    <x v="71"/>
    <x v="0"/>
    <x v="2"/>
    <n v="45426.482093182873"/>
    <x v="7"/>
    <x v="0"/>
    <s v="ANON-0000-0000-0165"/>
    <x v="10"/>
    <x v="7"/>
  </r>
  <r>
    <x v="71"/>
    <x v="0"/>
    <x v="2"/>
    <n v="45426.586742824074"/>
    <x v="8"/>
    <x v="0"/>
    <s v="ANON-0000-0000-0025"/>
    <x v="10"/>
    <x v="7"/>
  </r>
  <r>
    <x v="71"/>
    <x v="0"/>
    <x v="2"/>
    <n v="45426.587504374998"/>
    <x v="8"/>
    <x v="0"/>
    <s v="ANON-0000-0000-0009"/>
    <x v="8"/>
    <x v="3"/>
  </r>
  <r>
    <x v="71"/>
    <x v="0"/>
    <x v="2"/>
    <n v="45426.626328530096"/>
    <x v="3"/>
    <x v="0"/>
    <s v="ANON-0000-0000-0040"/>
    <x v="11"/>
    <x v="2"/>
  </r>
  <r>
    <x v="71"/>
    <x v="0"/>
    <x v="2"/>
    <n v="45426.706912314818"/>
    <x v="4"/>
    <x v="0"/>
    <s v="ANON-0000-0000-0166"/>
    <x v="8"/>
    <x v="3"/>
  </r>
  <r>
    <x v="71"/>
    <x v="0"/>
    <x v="2"/>
    <n v="45426.707756875003"/>
    <x v="4"/>
    <x v="0"/>
    <s v="ANON-0000-0000-0166"/>
    <x v="10"/>
    <x v="7"/>
  </r>
  <r>
    <x v="71"/>
    <x v="0"/>
    <x v="2"/>
    <n v="45426.952375312503"/>
    <x v="14"/>
    <x v="0"/>
    <s v="ANON-0000-0000-0167"/>
    <x v="10"/>
    <x v="1"/>
  </r>
  <r>
    <x v="72"/>
    <x v="0"/>
    <x v="2"/>
    <n v="45427.361176631945"/>
    <x v="13"/>
    <x v="0"/>
    <s v="ANON-0000-0000-0168"/>
    <x v="10"/>
    <x v="0"/>
  </r>
  <r>
    <x v="72"/>
    <x v="0"/>
    <x v="2"/>
    <n v="45427.468279548608"/>
    <x v="7"/>
    <x v="0"/>
    <s v="ANON-0000-0000-0012"/>
    <x v="14"/>
    <x v="6"/>
  </r>
  <r>
    <x v="72"/>
    <x v="0"/>
    <x v="2"/>
    <n v="45427.47164408565"/>
    <x v="7"/>
    <x v="0"/>
    <s v="ANON-0000-0000-0012"/>
    <x v="11"/>
    <x v="2"/>
  </r>
  <r>
    <x v="72"/>
    <x v="0"/>
    <x v="2"/>
    <n v="45427.565684050925"/>
    <x v="2"/>
    <x v="0"/>
    <s v="ANON-0000-0000-0003"/>
    <x v="11"/>
    <x v="2"/>
  </r>
  <r>
    <x v="72"/>
    <x v="0"/>
    <x v="2"/>
    <n v="45427.566309849535"/>
    <x v="2"/>
    <x v="0"/>
    <s v="ANON-0000-0000-0003"/>
    <x v="11"/>
    <x v="2"/>
  </r>
  <r>
    <x v="72"/>
    <x v="0"/>
    <x v="2"/>
    <n v="45427.566983090277"/>
    <x v="2"/>
    <x v="0"/>
    <s v="ANON-0000-0000-0003"/>
    <x v="11"/>
    <x v="2"/>
  </r>
  <r>
    <x v="72"/>
    <x v="0"/>
    <x v="2"/>
    <n v="45427.580196747687"/>
    <x v="2"/>
    <x v="0"/>
    <s v="ANON-0000-0000-0164"/>
    <x v="8"/>
    <x v="3"/>
  </r>
  <r>
    <x v="72"/>
    <x v="0"/>
    <x v="2"/>
    <n v="45427.609847766202"/>
    <x v="8"/>
    <x v="1"/>
    <m/>
    <x v="12"/>
    <x v="2"/>
  </r>
  <r>
    <x v="72"/>
    <x v="0"/>
    <x v="2"/>
    <n v="45427.610328090275"/>
    <x v="8"/>
    <x v="0"/>
    <s v="ANON-0000-0000-0169"/>
    <x v="11"/>
    <x v="5"/>
  </r>
  <r>
    <x v="72"/>
    <x v="0"/>
    <x v="2"/>
    <n v="45427.610930173614"/>
    <x v="8"/>
    <x v="0"/>
    <s v="ANON-0000-0000-0012"/>
    <x v="11"/>
    <x v="5"/>
  </r>
  <r>
    <x v="72"/>
    <x v="0"/>
    <x v="2"/>
    <n v="45427.728456249999"/>
    <x v="9"/>
    <x v="0"/>
    <s v="ANON-0000-0000-0170"/>
    <x v="14"/>
    <x v="6"/>
  </r>
  <r>
    <x v="72"/>
    <x v="0"/>
    <x v="2"/>
    <n v="45427.847624641203"/>
    <x v="12"/>
    <x v="0"/>
    <s v="ANON-0000-0000-0171"/>
    <x v="10"/>
    <x v="7"/>
  </r>
  <r>
    <x v="73"/>
    <x v="0"/>
    <x v="2"/>
    <n v="45428.443546967595"/>
    <x v="0"/>
    <x v="0"/>
    <s v="ANON-0000-0000-0097"/>
    <x v="8"/>
    <x v="3"/>
  </r>
  <r>
    <x v="73"/>
    <x v="0"/>
    <x v="2"/>
    <n v="45428.444322118055"/>
    <x v="0"/>
    <x v="0"/>
    <s v="ANON-0000-0000-0172"/>
    <x v="8"/>
    <x v="3"/>
  </r>
  <r>
    <x v="73"/>
    <x v="0"/>
    <x v="2"/>
    <n v="45428.488082002317"/>
    <x v="7"/>
    <x v="1"/>
    <m/>
    <x v="9"/>
    <x v="0"/>
  </r>
  <r>
    <x v="73"/>
    <x v="0"/>
    <x v="2"/>
    <n v="45428.489129756941"/>
    <x v="7"/>
    <x v="1"/>
    <m/>
    <x v="9"/>
    <x v="7"/>
  </r>
  <r>
    <x v="73"/>
    <x v="0"/>
    <x v="2"/>
    <n v="45428.509723344905"/>
    <x v="1"/>
    <x v="0"/>
    <s v="ANON-0000-0000-0173"/>
    <x v="8"/>
    <x v="3"/>
  </r>
  <r>
    <x v="73"/>
    <x v="0"/>
    <x v="2"/>
    <n v="45428.635605497686"/>
    <x v="3"/>
    <x v="0"/>
    <s v="ANON-0000-0000-0174"/>
    <x v="10"/>
    <x v="1"/>
  </r>
  <r>
    <x v="73"/>
    <x v="0"/>
    <x v="2"/>
    <n v="45428.73925402778"/>
    <x v="9"/>
    <x v="0"/>
    <s v="ANON-0000-0000-0069"/>
    <x v="10"/>
    <x v="0"/>
  </r>
  <r>
    <x v="73"/>
    <x v="0"/>
    <x v="2"/>
    <n v="45428.758992291667"/>
    <x v="5"/>
    <x v="0"/>
    <s v="ANON-0000-0000-0175"/>
    <x v="10"/>
    <x v="1"/>
  </r>
  <r>
    <x v="73"/>
    <x v="0"/>
    <x v="2"/>
    <n v="45428.759701284725"/>
    <x v="5"/>
    <x v="0"/>
    <s v="ANON-0000-0000-0175"/>
    <x v="10"/>
    <x v="0"/>
  </r>
  <r>
    <x v="74"/>
    <x v="0"/>
    <x v="2"/>
    <n v="45429.37556083333"/>
    <x v="10"/>
    <x v="0"/>
    <s v="ANON-0000-0000-0033"/>
    <x v="11"/>
    <x v="2"/>
  </r>
  <r>
    <x v="74"/>
    <x v="0"/>
    <x v="2"/>
    <n v="45429.479485567128"/>
    <x v="7"/>
    <x v="0"/>
    <s v="ANON-0000-0000-0164"/>
    <x v="8"/>
    <x v="3"/>
  </r>
  <r>
    <x v="74"/>
    <x v="0"/>
    <x v="2"/>
    <n v="45429.623646527776"/>
    <x v="8"/>
    <x v="1"/>
    <m/>
    <x v="13"/>
    <x v="3"/>
  </r>
  <r>
    <x v="74"/>
    <x v="0"/>
    <x v="2"/>
    <n v="45429.830075625003"/>
    <x v="6"/>
    <x v="0"/>
    <s v="ANON-0000-0000-0012"/>
    <x v="8"/>
    <x v="3"/>
  </r>
  <r>
    <x v="74"/>
    <x v="0"/>
    <x v="2"/>
    <n v="45429.831096655093"/>
    <x v="6"/>
    <x v="0"/>
    <s v="ANON-0000-0000-0009"/>
    <x v="10"/>
    <x v="7"/>
  </r>
  <r>
    <x v="74"/>
    <x v="0"/>
    <x v="2"/>
    <n v="45429.859640393515"/>
    <x v="12"/>
    <x v="0"/>
    <s v="ANON-0000-0000-0176"/>
    <x v="10"/>
    <x v="7"/>
  </r>
  <r>
    <x v="74"/>
    <x v="0"/>
    <x v="2"/>
    <n v="45429.940865706019"/>
    <x v="14"/>
    <x v="0"/>
    <s v="ANON-0000-0000-0177"/>
    <x v="11"/>
    <x v="2"/>
  </r>
  <r>
    <x v="74"/>
    <x v="0"/>
    <x v="2"/>
    <n v="45429.942052743056"/>
    <x v="14"/>
    <x v="0"/>
    <s v="ANON-0000-0000-0178"/>
    <x v="10"/>
    <x v="0"/>
  </r>
  <r>
    <x v="74"/>
    <x v="0"/>
    <x v="2"/>
    <n v="45429.942856724534"/>
    <x v="14"/>
    <x v="0"/>
    <s v="ANON-0000-0000-0179"/>
    <x v="10"/>
    <x v="0"/>
  </r>
  <r>
    <x v="75"/>
    <x v="0"/>
    <x v="2"/>
    <n v="45430.334466412038"/>
    <x v="13"/>
    <x v="0"/>
    <s v="ANON-0000-0000-0180"/>
    <x v="10"/>
    <x v="7"/>
  </r>
  <r>
    <x v="75"/>
    <x v="0"/>
    <x v="2"/>
    <n v="45430.335184710646"/>
    <x v="13"/>
    <x v="0"/>
    <s v="ANON-0000-0000-0180"/>
    <x v="10"/>
    <x v="7"/>
  </r>
  <r>
    <x v="75"/>
    <x v="0"/>
    <x v="2"/>
    <n v="45430.469399178241"/>
    <x v="7"/>
    <x v="0"/>
    <s v="ANON-0000-0000-0181"/>
    <x v="8"/>
    <x v="3"/>
  </r>
  <r>
    <x v="75"/>
    <x v="0"/>
    <x v="2"/>
    <n v="45430.700339976851"/>
    <x v="4"/>
    <x v="0"/>
    <s v="ANON-0000-0000-0172"/>
    <x v="8"/>
    <x v="3"/>
  </r>
  <r>
    <x v="75"/>
    <x v="0"/>
    <x v="2"/>
    <n v="45430.701008460645"/>
    <x v="4"/>
    <x v="0"/>
    <s v="ANON-0000-0000-0097"/>
    <x v="8"/>
    <x v="3"/>
  </r>
  <r>
    <x v="75"/>
    <x v="0"/>
    <x v="2"/>
    <n v="45430.83245613426"/>
    <x v="6"/>
    <x v="0"/>
    <s v="ANON-0000-0000-0040"/>
    <x v="8"/>
    <x v="3"/>
  </r>
  <r>
    <x v="75"/>
    <x v="0"/>
    <x v="2"/>
    <n v="45430.849225821759"/>
    <x v="12"/>
    <x v="0"/>
    <s v="ANON-0000-0000-0009"/>
    <x v="10"/>
    <x v="0"/>
  </r>
  <r>
    <x v="75"/>
    <x v="0"/>
    <x v="2"/>
    <n v="45430.920456863423"/>
    <x v="14"/>
    <x v="1"/>
    <m/>
    <x v="9"/>
    <x v="7"/>
  </r>
  <r>
    <x v="76"/>
    <x v="0"/>
    <x v="2"/>
    <n v="45431.332387870367"/>
    <x v="11"/>
    <x v="0"/>
    <s v="ANON-0000-0000-0182"/>
    <x v="11"/>
    <x v="2"/>
  </r>
  <r>
    <x v="76"/>
    <x v="0"/>
    <x v="2"/>
    <n v="45431.333027187502"/>
    <x v="11"/>
    <x v="0"/>
    <s v="ANON-0000-0000-0182"/>
    <x v="11"/>
    <x v="2"/>
  </r>
  <r>
    <x v="76"/>
    <x v="0"/>
    <x v="2"/>
    <n v="45431.333739131944"/>
    <x v="13"/>
    <x v="0"/>
    <s v="ANON-0000-0000-0183"/>
    <x v="10"/>
    <x v="7"/>
  </r>
  <r>
    <x v="76"/>
    <x v="0"/>
    <x v="2"/>
    <n v="45431.395019942131"/>
    <x v="10"/>
    <x v="1"/>
    <m/>
    <x v="4"/>
    <x v="6"/>
  </r>
  <r>
    <x v="76"/>
    <x v="0"/>
    <x v="2"/>
    <n v="45431.510030972226"/>
    <x v="1"/>
    <x v="0"/>
    <s v="ANON-0000-0000-0184"/>
    <x v="8"/>
    <x v="3"/>
  </r>
  <r>
    <x v="76"/>
    <x v="0"/>
    <x v="2"/>
    <n v="45431.613657974536"/>
    <x v="8"/>
    <x v="0"/>
    <s v="ANON-0000-0000-0012"/>
    <x v="11"/>
    <x v="2"/>
  </r>
  <r>
    <x v="76"/>
    <x v="0"/>
    <x v="2"/>
    <n v="45431.665951296294"/>
    <x v="3"/>
    <x v="0"/>
    <s v="ANON-0000-0000-0185"/>
    <x v="8"/>
    <x v="3"/>
  </r>
  <r>
    <x v="76"/>
    <x v="0"/>
    <x v="2"/>
    <n v="45431.758753518516"/>
    <x v="5"/>
    <x v="0"/>
    <s v="ANON-0000-0000-0186"/>
    <x v="8"/>
    <x v="3"/>
  </r>
  <r>
    <x v="76"/>
    <x v="0"/>
    <x v="2"/>
    <n v="45431.759580578706"/>
    <x v="5"/>
    <x v="0"/>
    <s v="ANON-0000-0000-0186"/>
    <x v="14"/>
    <x v="6"/>
  </r>
  <r>
    <x v="76"/>
    <x v="0"/>
    <x v="2"/>
    <n v="45431.761458587964"/>
    <x v="5"/>
    <x v="0"/>
    <s v="ANON-0000-0000-0186"/>
    <x v="10"/>
    <x v="1"/>
  </r>
  <r>
    <x v="76"/>
    <x v="0"/>
    <x v="2"/>
    <n v="45431.827164108799"/>
    <x v="6"/>
    <x v="0"/>
    <s v="ANON-0000-0000-0187"/>
    <x v="10"/>
    <x v="7"/>
  </r>
  <r>
    <x v="76"/>
    <x v="0"/>
    <x v="2"/>
    <n v="45431.885900011577"/>
    <x v="15"/>
    <x v="0"/>
    <s v="ANON-0000-0000-0188"/>
    <x v="10"/>
    <x v="7"/>
  </r>
  <r>
    <x v="76"/>
    <x v="0"/>
    <x v="2"/>
    <n v="45431.887917835651"/>
    <x v="15"/>
    <x v="0"/>
    <s v="ANON-0000-0000-0189"/>
    <x v="10"/>
    <x v="7"/>
  </r>
  <r>
    <x v="77"/>
    <x v="0"/>
    <x v="2"/>
    <n v="45432.420823645836"/>
    <x v="0"/>
    <x v="0"/>
    <s v="ANON-0000-0000-0190"/>
    <x v="8"/>
    <x v="3"/>
  </r>
  <r>
    <x v="77"/>
    <x v="0"/>
    <x v="2"/>
    <n v="45432.429072534724"/>
    <x v="0"/>
    <x v="0"/>
    <s v="ANON-0000-0000-0191"/>
    <x v="10"/>
    <x v="0"/>
  </r>
  <r>
    <x v="77"/>
    <x v="0"/>
    <x v="2"/>
    <n v="45432.457504386577"/>
    <x v="0"/>
    <x v="0"/>
    <s v="ANON-0000-0000-0001"/>
    <x v="10"/>
    <x v="0"/>
  </r>
  <r>
    <x v="77"/>
    <x v="0"/>
    <x v="2"/>
    <n v="45432.468939386577"/>
    <x v="7"/>
    <x v="0"/>
    <s v="ANON-0000-0000-0143"/>
    <x v="11"/>
    <x v="2"/>
  </r>
  <r>
    <x v="77"/>
    <x v="0"/>
    <x v="2"/>
    <n v="45432.469671724539"/>
    <x v="7"/>
    <x v="0"/>
    <s v="ANON-0000-0000-0143"/>
    <x v="11"/>
    <x v="2"/>
  </r>
  <r>
    <x v="77"/>
    <x v="0"/>
    <x v="2"/>
    <n v="45432.56057199074"/>
    <x v="2"/>
    <x v="0"/>
    <s v="ANON-0000-0000-0003"/>
    <x v="11"/>
    <x v="2"/>
  </r>
  <r>
    <x v="77"/>
    <x v="0"/>
    <x v="2"/>
    <n v="45432.561231944448"/>
    <x v="2"/>
    <x v="0"/>
    <s v="ANON-0000-0000-0003"/>
    <x v="11"/>
    <x v="2"/>
  </r>
  <r>
    <x v="77"/>
    <x v="0"/>
    <x v="2"/>
    <n v="45432.592581215278"/>
    <x v="8"/>
    <x v="0"/>
    <s v="ANON-0000-0000-0192"/>
    <x v="8"/>
    <x v="3"/>
  </r>
  <r>
    <x v="77"/>
    <x v="0"/>
    <x v="2"/>
    <n v="45432.593418449076"/>
    <x v="8"/>
    <x v="0"/>
    <s v="ANON-0000-0000-0192"/>
    <x v="10"/>
    <x v="7"/>
  </r>
  <r>
    <x v="77"/>
    <x v="0"/>
    <x v="2"/>
    <n v="45432.605801527781"/>
    <x v="8"/>
    <x v="1"/>
    <m/>
    <x v="12"/>
    <x v="2"/>
  </r>
  <r>
    <x v="77"/>
    <x v="0"/>
    <x v="2"/>
    <n v="45432.717258344906"/>
    <x v="9"/>
    <x v="0"/>
    <s v="ANON-0000-0000-0120"/>
    <x v="10"/>
    <x v="0"/>
  </r>
  <r>
    <x v="77"/>
    <x v="0"/>
    <x v="2"/>
    <n v="45432.718019641201"/>
    <x v="9"/>
    <x v="0"/>
    <s v="ANON-0000-0000-0193"/>
    <x v="10"/>
    <x v="0"/>
  </r>
  <r>
    <x v="77"/>
    <x v="0"/>
    <x v="2"/>
    <n v="45432.858892592594"/>
    <x v="12"/>
    <x v="0"/>
    <s v="ANON-0000-0000-0194"/>
    <x v="8"/>
    <x v="3"/>
  </r>
  <r>
    <x v="77"/>
    <x v="0"/>
    <x v="2"/>
    <n v="45432.859691157406"/>
    <x v="12"/>
    <x v="0"/>
    <s v="ANON-0000-0000-0194"/>
    <x v="10"/>
    <x v="4"/>
  </r>
  <r>
    <x v="77"/>
    <x v="0"/>
    <x v="2"/>
    <n v="45432.865880613426"/>
    <x v="12"/>
    <x v="0"/>
    <s v="ANON-0000-0000-0195"/>
    <x v="11"/>
    <x v="5"/>
  </r>
  <r>
    <x v="77"/>
    <x v="0"/>
    <x v="2"/>
    <n v="45432.900624837966"/>
    <x v="15"/>
    <x v="0"/>
    <s v="ANON-0000-0000-0012"/>
    <x v="8"/>
    <x v="3"/>
  </r>
  <r>
    <x v="77"/>
    <x v="0"/>
    <x v="2"/>
    <n v="45432.901363159719"/>
    <x v="15"/>
    <x v="0"/>
    <s v="ANON-0000-0000-0012"/>
    <x v="8"/>
    <x v="3"/>
  </r>
  <r>
    <x v="78"/>
    <x v="0"/>
    <x v="2"/>
    <n v="45433.352525810187"/>
    <x v="13"/>
    <x v="0"/>
    <s v="ANON-0000-0000-0196"/>
    <x v="10"/>
    <x v="0"/>
  </r>
  <r>
    <x v="78"/>
    <x v="0"/>
    <x v="2"/>
    <n v="45433.405447800928"/>
    <x v="10"/>
    <x v="1"/>
    <m/>
    <x v="12"/>
    <x v="2"/>
  </r>
  <r>
    <x v="78"/>
    <x v="0"/>
    <x v="2"/>
    <n v="45433.40602209491"/>
    <x v="10"/>
    <x v="1"/>
    <m/>
    <x v="13"/>
    <x v="3"/>
  </r>
  <r>
    <x v="78"/>
    <x v="0"/>
    <x v="2"/>
    <n v="45433.407053587965"/>
    <x v="10"/>
    <x v="1"/>
    <m/>
    <x v="9"/>
    <x v="4"/>
  </r>
  <r>
    <x v="78"/>
    <x v="0"/>
    <x v="2"/>
    <n v="45433.420231863427"/>
    <x v="0"/>
    <x v="1"/>
    <m/>
    <x v="9"/>
    <x v="0"/>
  </r>
  <r>
    <x v="78"/>
    <x v="0"/>
    <x v="2"/>
    <n v="45433.673842083335"/>
    <x v="4"/>
    <x v="0"/>
    <s v="ANON-0000-0000-0197"/>
    <x v="10"/>
    <x v="0"/>
  </r>
  <r>
    <x v="78"/>
    <x v="0"/>
    <x v="2"/>
    <n v="45433.759305532411"/>
    <x v="5"/>
    <x v="0"/>
    <s v="ANON-0000-0000-0012"/>
    <x v="14"/>
    <x v="6"/>
  </r>
  <r>
    <x v="78"/>
    <x v="0"/>
    <x v="2"/>
    <n v="45433.799412175926"/>
    <x v="6"/>
    <x v="0"/>
    <s v="ANON-0000-0000-0198"/>
    <x v="10"/>
    <x v="7"/>
  </r>
  <r>
    <x v="78"/>
    <x v="0"/>
    <x v="2"/>
    <n v="45433.842920810188"/>
    <x v="12"/>
    <x v="0"/>
    <s v="ANON-0000-0000-0199"/>
    <x v="10"/>
    <x v="7"/>
  </r>
  <r>
    <x v="79"/>
    <x v="0"/>
    <x v="2"/>
    <n v="45434.399095115739"/>
    <x v="10"/>
    <x v="0"/>
    <s v="ANON-0000-0000-0200"/>
    <x v="10"/>
    <x v="7"/>
  </r>
  <r>
    <x v="79"/>
    <x v="0"/>
    <x v="2"/>
    <n v="45434.451238935188"/>
    <x v="0"/>
    <x v="0"/>
    <s v="ANON-0000-0000-0191"/>
    <x v="8"/>
    <x v="3"/>
  </r>
  <r>
    <x v="79"/>
    <x v="0"/>
    <x v="2"/>
    <n v="45434.4709984375"/>
    <x v="7"/>
    <x v="0"/>
    <s v="ANON-0000-0000-0141"/>
    <x v="11"/>
    <x v="5"/>
  </r>
  <r>
    <x v="79"/>
    <x v="0"/>
    <x v="2"/>
    <n v="45434.482580648146"/>
    <x v="7"/>
    <x v="0"/>
    <s v="ANON-0000-0000-0097"/>
    <x v="8"/>
    <x v="3"/>
  </r>
  <r>
    <x v="79"/>
    <x v="0"/>
    <x v="2"/>
    <n v="45434.520727326388"/>
    <x v="1"/>
    <x v="0"/>
    <s v="ANON-0000-0000-0012"/>
    <x v="11"/>
    <x v="2"/>
  </r>
  <r>
    <x v="79"/>
    <x v="0"/>
    <x v="2"/>
    <n v="45434.521335034726"/>
    <x v="1"/>
    <x v="0"/>
    <s v="ANON-0000-0000-0012"/>
    <x v="11"/>
    <x v="2"/>
  </r>
  <r>
    <x v="79"/>
    <x v="0"/>
    <x v="2"/>
    <n v="45434.583570590279"/>
    <x v="8"/>
    <x v="0"/>
    <s v="ANON-0000-0000-0009"/>
    <x v="8"/>
    <x v="3"/>
  </r>
  <r>
    <x v="79"/>
    <x v="0"/>
    <x v="2"/>
    <n v="45434.809005763891"/>
    <x v="6"/>
    <x v="0"/>
    <s v="ANON-0000-0000-0134"/>
    <x v="10"/>
    <x v="7"/>
  </r>
  <r>
    <x v="79"/>
    <x v="0"/>
    <x v="2"/>
    <n v="45434.809705717591"/>
    <x v="6"/>
    <x v="0"/>
    <s v="ANON-0000-0000-0134"/>
    <x v="10"/>
    <x v="7"/>
  </r>
  <r>
    <x v="79"/>
    <x v="0"/>
    <x v="2"/>
    <n v="45434.891585648147"/>
    <x v="15"/>
    <x v="0"/>
    <s v="ANON-0000-0000-0180"/>
    <x v="10"/>
    <x v="1"/>
  </r>
  <r>
    <x v="79"/>
    <x v="0"/>
    <x v="2"/>
    <n v="45434.892240555557"/>
    <x v="15"/>
    <x v="0"/>
    <s v="ANON-0000-0000-0180"/>
    <x v="10"/>
    <x v="7"/>
  </r>
  <r>
    <x v="80"/>
    <x v="0"/>
    <x v="2"/>
    <n v="45435.423838425922"/>
    <x v="0"/>
    <x v="0"/>
    <s v="ANON-0000-0000-0201"/>
    <x v="10"/>
    <x v="7"/>
  </r>
  <r>
    <x v="80"/>
    <x v="0"/>
    <x v="2"/>
    <n v="45435.515354224539"/>
    <x v="1"/>
    <x v="0"/>
    <s v="ANON-0000-0000-0202"/>
    <x v="14"/>
    <x v="6"/>
  </r>
  <r>
    <x v="80"/>
    <x v="0"/>
    <x v="2"/>
    <n v="45435.663386898152"/>
    <x v="3"/>
    <x v="0"/>
    <s v="ANON-0000-0000-0180"/>
    <x v="10"/>
    <x v="7"/>
  </r>
  <r>
    <x v="80"/>
    <x v="0"/>
    <x v="2"/>
    <n v="45435.664204131943"/>
    <x v="3"/>
    <x v="0"/>
    <s v="ANON-0000-0000-0203"/>
    <x v="10"/>
    <x v="7"/>
  </r>
  <r>
    <x v="80"/>
    <x v="0"/>
    <x v="2"/>
    <n v="45435.679329317129"/>
    <x v="4"/>
    <x v="0"/>
    <s v="ANON-0000-0000-0180"/>
    <x v="10"/>
    <x v="7"/>
  </r>
  <r>
    <x v="80"/>
    <x v="0"/>
    <x v="2"/>
    <n v="45435.695139386575"/>
    <x v="4"/>
    <x v="0"/>
    <s v="ANON-0000-0000-0077"/>
    <x v="10"/>
    <x v="0"/>
  </r>
  <r>
    <x v="80"/>
    <x v="0"/>
    <x v="2"/>
    <n v="45435.718440243058"/>
    <x v="9"/>
    <x v="0"/>
    <s v="ANON-0000-0000-0153"/>
    <x v="10"/>
    <x v="7"/>
  </r>
  <r>
    <x v="80"/>
    <x v="0"/>
    <x v="2"/>
    <n v="45435.719269224537"/>
    <x v="9"/>
    <x v="0"/>
    <s v="ANON-0000-0000-0153"/>
    <x v="10"/>
    <x v="0"/>
  </r>
  <r>
    <x v="80"/>
    <x v="0"/>
    <x v="2"/>
    <n v="45435.79437333333"/>
    <x v="6"/>
    <x v="0"/>
    <s v="ANON-0000-0000-0204"/>
    <x v="11"/>
    <x v="5"/>
  </r>
  <r>
    <x v="80"/>
    <x v="0"/>
    <x v="2"/>
    <n v="45435.803801284725"/>
    <x v="6"/>
    <x v="0"/>
    <s v="ANON-0000-0000-0134"/>
    <x v="10"/>
    <x v="7"/>
  </r>
  <r>
    <x v="80"/>
    <x v="0"/>
    <x v="2"/>
    <n v="45435.804472430558"/>
    <x v="6"/>
    <x v="0"/>
    <s v="ANON-0000-0000-0205"/>
    <x v="10"/>
    <x v="7"/>
  </r>
  <r>
    <x v="80"/>
    <x v="0"/>
    <x v="2"/>
    <n v="45435.821198449077"/>
    <x v="6"/>
    <x v="0"/>
    <s v="ANON-0000-0000-0206"/>
    <x v="10"/>
    <x v="7"/>
  </r>
  <r>
    <x v="80"/>
    <x v="0"/>
    <x v="2"/>
    <n v="45435.84376653935"/>
    <x v="12"/>
    <x v="0"/>
    <s v="ANON-0000-0000-0207"/>
    <x v="10"/>
    <x v="7"/>
  </r>
  <r>
    <x v="80"/>
    <x v="0"/>
    <x v="2"/>
    <n v="45435.844724594906"/>
    <x v="12"/>
    <x v="0"/>
    <s v="ANON-0000-0000-0207"/>
    <x v="10"/>
    <x v="0"/>
  </r>
  <r>
    <x v="80"/>
    <x v="0"/>
    <x v="2"/>
    <n v="45435.950125150463"/>
    <x v="14"/>
    <x v="0"/>
    <s v="ANON-0000-0000-0208"/>
    <x v="8"/>
    <x v="3"/>
  </r>
  <r>
    <x v="80"/>
    <x v="0"/>
    <x v="2"/>
    <n v="45435.955288495374"/>
    <x v="14"/>
    <x v="1"/>
    <m/>
    <x v="9"/>
    <x v="1"/>
  </r>
  <r>
    <x v="81"/>
    <x v="0"/>
    <x v="2"/>
    <n v="45436.466657199075"/>
    <x v="7"/>
    <x v="0"/>
    <s v="ANON-0000-0000-0141"/>
    <x v="11"/>
    <x v="5"/>
  </r>
  <r>
    <x v="81"/>
    <x v="0"/>
    <x v="2"/>
    <n v="45436.468846539348"/>
    <x v="7"/>
    <x v="0"/>
    <s v="ANON-0000-0000-0012"/>
    <x v="11"/>
    <x v="2"/>
  </r>
  <r>
    <x v="81"/>
    <x v="0"/>
    <x v="2"/>
    <n v="45436.469595092596"/>
    <x v="7"/>
    <x v="0"/>
    <s v="ANON-0000-0000-0012"/>
    <x v="11"/>
    <x v="2"/>
  </r>
  <r>
    <x v="81"/>
    <x v="0"/>
    <x v="2"/>
    <n v="45436.671757129632"/>
    <x v="4"/>
    <x v="0"/>
    <s v="ANON-0000-0000-0081"/>
    <x v="10"/>
    <x v="1"/>
  </r>
  <r>
    <x v="81"/>
    <x v="0"/>
    <x v="2"/>
    <n v="45436.762272337961"/>
    <x v="5"/>
    <x v="0"/>
    <s v="ANON-0000-0000-0209"/>
    <x v="11"/>
    <x v="5"/>
  </r>
  <r>
    <x v="81"/>
    <x v="0"/>
    <x v="2"/>
    <n v="45436.762924745373"/>
    <x v="5"/>
    <x v="0"/>
    <s v="ANON-0000-0000-0209"/>
    <x v="11"/>
    <x v="5"/>
  </r>
  <r>
    <x v="81"/>
    <x v="0"/>
    <x v="2"/>
    <n v="45436.937965254627"/>
    <x v="14"/>
    <x v="0"/>
    <s v="ANON-0000-0000-0210"/>
    <x v="8"/>
    <x v="3"/>
  </r>
  <r>
    <x v="82"/>
    <x v="0"/>
    <x v="2"/>
    <n v="45437.320125208331"/>
    <x v="11"/>
    <x v="1"/>
    <m/>
    <x v="12"/>
    <x v="2"/>
  </r>
  <r>
    <x v="82"/>
    <x v="0"/>
    <x v="2"/>
    <n v="45437.509645694445"/>
    <x v="1"/>
    <x v="0"/>
    <s v="ANON-0000-0000-0211"/>
    <x v="10"/>
    <x v="0"/>
  </r>
  <r>
    <x v="82"/>
    <x v="0"/>
    <x v="2"/>
    <n v="45437.528050775465"/>
    <x v="1"/>
    <x v="1"/>
    <m/>
    <x v="12"/>
    <x v="2"/>
  </r>
  <r>
    <x v="82"/>
    <x v="0"/>
    <x v="2"/>
    <n v="45437.529285393517"/>
    <x v="1"/>
    <x v="0"/>
    <s v="ANON-0000-0000-0212"/>
    <x v="8"/>
    <x v="3"/>
  </r>
  <r>
    <x v="82"/>
    <x v="0"/>
    <x v="2"/>
    <n v="45437.530014756943"/>
    <x v="1"/>
    <x v="0"/>
    <s v="ANON-0000-0000-0212"/>
    <x v="8"/>
    <x v="3"/>
  </r>
  <r>
    <x v="82"/>
    <x v="0"/>
    <x v="2"/>
    <n v="45437.540417233795"/>
    <x v="1"/>
    <x v="0"/>
    <s v="ANON-0000-0000-0213"/>
    <x v="8"/>
    <x v="3"/>
  </r>
  <r>
    <x v="82"/>
    <x v="0"/>
    <x v="2"/>
    <n v="45437.69941616898"/>
    <x v="4"/>
    <x v="0"/>
    <s v="ANON-0000-0000-0040"/>
    <x v="8"/>
    <x v="3"/>
  </r>
  <r>
    <x v="82"/>
    <x v="0"/>
    <x v="2"/>
    <n v="45437.700194837962"/>
    <x v="4"/>
    <x v="0"/>
    <s v="ANON-0000-0000-0040"/>
    <x v="11"/>
    <x v="2"/>
  </r>
  <r>
    <x v="83"/>
    <x v="0"/>
    <x v="2"/>
    <n v="45438.430581400462"/>
    <x v="0"/>
    <x v="0"/>
    <s v="ANON-0000-0000-0001"/>
    <x v="10"/>
    <x v="0"/>
  </r>
  <r>
    <x v="83"/>
    <x v="0"/>
    <x v="2"/>
    <n v="45438.600576527781"/>
    <x v="8"/>
    <x v="0"/>
    <s v="ANON-0000-0000-0214"/>
    <x v="8"/>
    <x v="3"/>
  </r>
  <r>
    <x v="83"/>
    <x v="0"/>
    <x v="2"/>
    <n v="45438.601449629627"/>
    <x v="8"/>
    <x v="0"/>
    <s v="ANON-0000-0000-0215"/>
    <x v="11"/>
    <x v="5"/>
  </r>
  <r>
    <x v="83"/>
    <x v="0"/>
    <x v="2"/>
    <n v="45438.611792615739"/>
    <x v="8"/>
    <x v="0"/>
    <s v="ANON-0000-0000-0216"/>
    <x v="8"/>
    <x v="3"/>
  </r>
  <r>
    <x v="83"/>
    <x v="0"/>
    <x v="2"/>
    <n v="45438.721707418983"/>
    <x v="9"/>
    <x v="0"/>
    <s v="ANON-0000-0000-0217"/>
    <x v="10"/>
    <x v="7"/>
  </r>
  <r>
    <x v="83"/>
    <x v="0"/>
    <x v="2"/>
    <n v="45438.756861608796"/>
    <x v="5"/>
    <x v="0"/>
    <s v="ANON-0000-0000-0218"/>
    <x v="10"/>
    <x v="1"/>
  </r>
  <r>
    <x v="83"/>
    <x v="0"/>
    <x v="2"/>
    <n v="45438.757664398145"/>
    <x v="5"/>
    <x v="0"/>
    <s v="ANON-0000-0000-0218"/>
    <x v="10"/>
    <x v="1"/>
  </r>
  <r>
    <x v="83"/>
    <x v="0"/>
    <x v="2"/>
    <n v="45438.759193275466"/>
    <x v="5"/>
    <x v="0"/>
    <s v="ANON-0000-0000-0218"/>
    <x v="11"/>
    <x v="2"/>
  </r>
  <r>
    <x v="83"/>
    <x v="0"/>
    <x v="2"/>
    <n v="45438.777300856484"/>
    <x v="5"/>
    <x v="0"/>
    <s v="ANON-0000-0000-0219"/>
    <x v="10"/>
    <x v="0"/>
  </r>
  <r>
    <x v="83"/>
    <x v="0"/>
    <x v="2"/>
    <n v="45438.874478634258"/>
    <x v="12"/>
    <x v="0"/>
    <s v="ANON-0000-0000-0220"/>
    <x v="10"/>
    <x v="1"/>
  </r>
  <r>
    <x v="83"/>
    <x v="0"/>
    <x v="2"/>
    <n v="45438.875064444444"/>
    <x v="15"/>
    <x v="0"/>
    <s v="ANON-0000-0000-0220"/>
    <x v="10"/>
    <x v="7"/>
  </r>
  <r>
    <x v="83"/>
    <x v="0"/>
    <x v="2"/>
    <n v="45438.876816377313"/>
    <x v="15"/>
    <x v="0"/>
    <s v="ANON-0000-0000-0221"/>
    <x v="11"/>
    <x v="5"/>
  </r>
  <r>
    <x v="83"/>
    <x v="0"/>
    <x v="2"/>
    <n v="45438.877682546299"/>
    <x v="15"/>
    <x v="0"/>
    <s v="ANON-0000-0000-0222"/>
    <x v="10"/>
    <x v="7"/>
  </r>
  <r>
    <x v="83"/>
    <x v="0"/>
    <x v="2"/>
    <n v="45438.878458611114"/>
    <x v="15"/>
    <x v="0"/>
    <s v="ANON-0000-0000-0221"/>
    <x v="10"/>
    <x v="0"/>
  </r>
  <r>
    <x v="83"/>
    <x v="0"/>
    <x v="2"/>
    <n v="45438.879197002316"/>
    <x v="15"/>
    <x v="0"/>
    <s v="ANON-0000-0000-0223"/>
    <x v="10"/>
    <x v="7"/>
  </r>
  <r>
    <x v="84"/>
    <x v="0"/>
    <x v="2"/>
    <n v="45439.482583935183"/>
    <x v="7"/>
    <x v="0"/>
    <s v="ANON-0000-0000-0012"/>
    <x v="11"/>
    <x v="2"/>
  </r>
  <r>
    <x v="84"/>
    <x v="0"/>
    <x v="2"/>
    <n v="45439.587056574077"/>
    <x v="8"/>
    <x v="0"/>
    <s v="ANON-0000-0000-0224"/>
    <x v="8"/>
    <x v="3"/>
  </r>
  <r>
    <x v="84"/>
    <x v="0"/>
    <x v="2"/>
    <n v="45439.588004212965"/>
    <x v="8"/>
    <x v="0"/>
    <s v="ANON-0000-0000-0224"/>
    <x v="10"/>
    <x v="4"/>
  </r>
  <r>
    <x v="84"/>
    <x v="0"/>
    <x v="2"/>
    <n v="45439.633033113423"/>
    <x v="3"/>
    <x v="0"/>
    <s v="ANON-0000-0000-0225"/>
    <x v="11"/>
    <x v="2"/>
  </r>
  <r>
    <x v="84"/>
    <x v="0"/>
    <x v="2"/>
    <n v="45439.634789212963"/>
    <x v="3"/>
    <x v="0"/>
    <s v="ANON-0000-0000-0225"/>
    <x v="11"/>
    <x v="2"/>
  </r>
  <r>
    <x v="84"/>
    <x v="0"/>
    <x v="2"/>
    <n v="45439.743700960651"/>
    <x v="9"/>
    <x v="0"/>
    <s v="ANON-0000-0000-0203"/>
    <x v="10"/>
    <x v="0"/>
  </r>
  <r>
    <x v="84"/>
    <x v="0"/>
    <x v="2"/>
    <n v="45439.750590081021"/>
    <x v="5"/>
    <x v="0"/>
    <s v="ANON-0000-0000-0226"/>
    <x v="11"/>
    <x v="2"/>
  </r>
  <r>
    <x v="84"/>
    <x v="0"/>
    <x v="2"/>
    <n v="45439.803094953706"/>
    <x v="6"/>
    <x v="0"/>
    <s v="ANON-0000-0000-0227"/>
    <x v="10"/>
    <x v="0"/>
  </r>
  <r>
    <x v="84"/>
    <x v="0"/>
    <x v="2"/>
    <n v="45439.803920474536"/>
    <x v="6"/>
    <x v="0"/>
    <s v="ANON-0000-0000-0228"/>
    <x v="10"/>
    <x v="0"/>
  </r>
  <r>
    <x v="84"/>
    <x v="0"/>
    <x v="2"/>
    <n v="45439.895220891201"/>
    <x v="15"/>
    <x v="0"/>
    <s v="ANON-0000-0000-0192"/>
    <x v="8"/>
    <x v="3"/>
  </r>
  <r>
    <x v="84"/>
    <x v="0"/>
    <x v="2"/>
    <n v="45439.896062175925"/>
    <x v="15"/>
    <x v="0"/>
    <s v="ANON-0000-0000-0206"/>
    <x v="10"/>
    <x v="7"/>
  </r>
  <r>
    <x v="85"/>
    <x v="0"/>
    <x v="2"/>
    <n v="45440.359132268517"/>
    <x v="13"/>
    <x v="0"/>
    <s v="ANON-0000-0000-0012"/>
    <x v="8"/>
    <x v="3"/>
  </r>
  <r>
    <x v="85"/>
    <x v="0"/>
    <x v="2"/>
    <n v="45440.389013148146"/>
    <x v="10"/>
    <x v="0"/>
    <s v="ANON-0000-0000-0097"/>
    <x v="8"/>
    <x v="3"/>
  </r>
  <r>
    <x v="85"/>
    <x v="0"/>
    <x v="2"/>
    <n v="45440.491880717593"/>
    <x v="7"/>
    <x v="0"/>
    <s v="ANON-0000-0000-0229"/>
    <x v="10"/>
    <x v="7"/>
  </r>
  <r>
    <x v="85"/>
    <x v="0"/>
    <x v="2"/>
    <n v="45440.551856886574"/>
    <x v="2"/>
    <x v="0"/>
    <s v="ANON-0000-0000-0230"/>
    <x v="10"/>
    <x v="7"/>
  </r>
  <r>
    <x v="85"/>
    <x v="0"/>
    <x v="2"/>
    <n v="45440.590899201386"/>
    <x v="8"/>
    <x v="0"/>
    <s v="ANON-0000-0000-0194"/>
    <x v="10"/>
    <x v="4"/>
  </r>
  <r>
    <x v="85"/>
    <x v="0"/>
    <x v="2"/>
    <n v="45440.684482986115"/>
    <x v="4"/>
    <x v="0"/>
    <s v="ANON-0000-0000-0141"/>
    <x v="11"/>
    <x v="5"/>
  </r>
  <r>
    <x v="85"/>
    <x v="0"/>
    <x v="2"/>
    <n v="45440.723425543983"/>
    <x v="9"/>
    <x v="1"/>
    <m/>
    <x v="9"/>
    <x v="7"/>
  </r>
  <r>
    <x v="85"/>
    <x v="0"/>
    <x v="2"/>
    <n v="45440.798253113426"/>
    <x v="6"/>
    <x v="0"/>
    <s v="ANON-0000-0000-0231"/>
    <x v="11"/>
    <x v="2"/>
  </r>
  <r>
    <x v="85"/>
    <x v="0"/>
    <x v="2"/>
    <n v="45440.798970717595"/>
    <x v="6"/>
    <x v="0"/>
    <s v="ANON-0000-0000-0231"/>
    <x v="10"/>
    <x v="0"/>
  </r>
  <r>
    <x v="85"/>
    <x v="0"/>
    <x v="2"/>
    <n v="45440.850372743058"/>
    <x v="12"/>
    <x v="0"/>
    <s v="ANON-0000-0000-0009"/>
    <x v="8"/>
    <x v="3"/>
  </r>
  <r>
    <x v="85"/>
    <x v="0"/>
    <x v="2"/>
    <n v="45440.868280659721"/>
    <x v="12"/>
    <x v="0"/>
    <s v="ANON-0000-0000-0012"/>
    <x v="11"/>
    <x v="2"/>
  </r>
  <r>
    <x v="86"/>
    <x v="0"/>
    <x v="2"/>
    <n v="45441.385228055558"/>
    <x v="10"/>
    <x v="0"/>
    <s v="ANON-0000-0000-0232"/>
    <x v="10"/>
    <x v="0"/>
  </r>
  <r>
    <x v="86"/>
    <x v="0"/>
    <x v="2"/>
    <n v="45441.450541446757"/>
    <x v="0"/>
    <x v="1"/>
    <m/>
    <x v="9"/>
    <x v="0"/>
  </r>
  <r>
    <x v="86"/>
    <x v="0"/>
    <x v="2"/>
    <n v="45441.46808859954"/>
    <x v="7"/>
    <x v="0"/>
    <s v="ANON-0000-0000-0233"/>
    <x v="10"/>
    <x v="1"/>
  </r>
  <r>
    <x v="86"/>
    <x v="0"/>
    <x v="2"/>
    <n v="45441.632506307869"/>
    <x v="3"/>
    <x v="0"/>
    <s v="ANON-0000-0000-0234"/>
    <x v="11"/>
    <x v="2"/>
  </r>
  <r>
    <x v="86"/>
    <x v="0"/>
    <x v="2"/>
    <n v="45441.640929641202"/>
    <x v="3"/>
    <x v="0"/>
    <s v="ANON-0000-0000-0235"/>
    <x v="10"/>
    <x v="0"/>
  </r>
  <r>
    <x v="86"/>
    <x v="0"/>
    <x v="2"/>
    <n v="45441.656397430554"/>
    <x v="3"/>
    <x v="0"/>
    <s v="ANON-0000-0000-0236"/>
    <x v="10"/>
    <x v="7"/>
  </r>
  <r>
    <x v="86"/>
    <x v="0"/>
    <x v="2"/>
    <n v="45441.697962384256"/>
    <x v="4"/>
    <x v="0"/>
    <s v="ANON-0000-0000-0237"/>
    <x v="10"/>
    <x v="0"/>
  </r>
  <r>
    <x v="86"/>
    <x v="0"/>
    <x v="2"/>
    <n v="45441.766705254631"/>
    <x v="5"/>
    <x v="0"/>
    <s v="ANON-0000-0000-0238"/>
    <x v="11"/>
    <x v="5"/>
  </r>
  <r>
    <x v="86"/>
    <x v="0"/>
    <x v="2"/>
    <n v="45441.767353136573"/>
    <x v="5"/>
    <x v="0"/>
    <s v="ANON-0000-0000-0238"/>
    <x v="10"/>
    <x v="0"/>
  </r>
  <r>
    <x v="86"/>
    <x v="0"/>
    <x v="2"/>
    <n v="45441.854655555559"/>
    <x v="12"/>
    <x v="0"/>
    <s v="ANON-0000-0000-0239"/>
    <x v="10"/>
    <x v="1"/>
  </r>
  <r>
    <x v="86"/>
    <x v="0"/>
    <x v="2"/>
    <n v="45441.85596296296"/>
    <x v="12"/>
    <x v="0"/>
    <s v="ANON-0000-0000-0240"/>
    <x v="10"/>
    <x v="4"/>
  </r>
  <r>
    <x v="87"/>
    <x v="0"/>
    <x v="2"/>
    <n v="45442.353544872683"/>
    <x v="13"/>
    <x v="0"/>
    <s v="ANON-0000-0000-0241"/>
    <x v="10"/>
    <x v="7"/>
  </r>
  <r>
    <x v="87"/>
    <x v="0"/>
    <x v="2"/>
    <n v="45442.354416504633"/>
    <x v="13"/>
    <x v="0"/>
    <s v="ANON-0000-0000-0241"/>
    <x v="10"/>
    <x v="0"/>
  </r>
  <r>
    <x v="87"/>
    <x v="0"/>
    <x v="2"/>
    <n v="45442.359090069447"/>
    <x v="13"/>
    <x v="0"/>
    <s v="ANON-0000-0000-0242"/>
    <x v="8"/>
    <x v="3"/>
  </r>
  <r>
    <x v="87"/>
    <x v="0"/>
    <x v="2"/>
    <n v="45442.408322824071"/>
    <x v="10"/>
    <x v="0"/>
    <s v="ANON-0000-0000-0001"/>
    <x v="10"/>
    <x v="0"/>
  </r>
  <r>
    <x v="87"/>
    <x v="0"/>
    <x v="2"/>
    <n v="45442.622401307868"/>
    <x v="8"/>
    <x v="0"/>
    <s v="ANON-0000-0000-0097"/>
    <x v="8"/>
    <x v="3"/>
  </r>
  <r>
    <x v="87"/>
    <x v="0"/>
    <x v="2"/>
    <n v="45442.636292418982"/>
    <x v="3"/>
    <x v="0"/>
    <s v="ANON-0000-0000-0243"/>
    <x v="14"/>
    <x v="6"/>
  </r>
  <r>
    <x v="87"/>
    <x v="0"/>
    <x v="2"/>
    <n v="45442.637252962966"/>
    <x v="3"/>
    <x v="0"/>
    <s v="ANON-0000-0000-0012"/>
    <x v="14"/>
    <x v="6"/>
  </r>
  <r>
    <x v="87"/>
    <x v="0"/>
    <x v="2"/>
    <n v="45442.828601724534"/>
    <x v="6"/>
    <x v="0"/>
    <s v="ANON-0000-0000-0206"/>
    <x v="10"/>
    <x v="7"/>
  </r>
  <r>
    <x v="87"/>
    <x v="0"/>
    <x v="2"/>
    <n v="45442.85492395833"/>
    <x v="12"/>
    <x v="0"/>
    <s v="ANON-0000-0000-0244"/>
    <x v="10"/>
    <x v="0"/>
  </r>
  <r>
    <x v="87"/>
    <x v="0"/>
    <x v="2"/>
    <n v="45442.865437905093"/>
    <x v="12"/>
    <x v="0"/>
    <s v="ANON-0000-0000-0009"/>
    <x v="10"/>
    <x v="1"/>
  </r>
  <r>
    <x v="87"/>
    <x v="0"/>
    <x v="2"/>
    <n v="45442.866222060184"/>
    <x v="12"/>
    <x v="0"/>
    <s v="ANON-0000-0000-0009"/>
    <x v="8"/>
    <x v="3"/>
  </r>
  <r>
    <x v="88"/>
    <x v="0"/>
    <x v="2"/>
    <n v="45443.329135115739"/>
    <x v="11"/>
    <x v="0"/>
    <s v="ANON-0000-0000-0245"/>
    <x v="8"/>
    <x v="3"/>
  </r>
  <r>
    <x v="88"/>
    <x v="0"/>
    <x v="2"/>
    <n v="45443.389673854166"/>
    <x v="10"/>
    <x v="0"/>
    <s v="ANON-0000-0000-0246"/>
    <x v="10"/>
    <x v="0"/>
  </r>
  <r>
    <x v="88"/>
    <x v="0"/>
    <x v="2"/>
    <n v="45443.391652673614"/>
    <x v="10"/>
    <x v="1"/>
    <m/>
    <x v="9"/>
    <x v="0"/>
  </r>
  <r>
    <x v="88"/>
    <x v="0"/>
    <x v="2"/>
    <n v="45443.44314653935"/>
    <x v="0"/>
    <x v="0"/>
    <s v="ANON-0000-0000-0247"/>
    <x v="10"/>
    <x v="1"/>
  </r>
  <r>
    <x v="88"/>
    <x v="0"/>
    <x v="2"/>
    <n v="45443.443821018518"/>
    <x v="0"/>
    <x v="0"/>
    <s v="ANON-0000-0000-0248"/>
    <x v="10"/>
    <x v="4"/>
  </r>
  <r>
    <x v="88"/>
    <x v="0"/>
    <x v="2"/>
    <n v="45443.618205740742"/>
    <x v="8"/>
    <x v="0"/>
    <s v="ANON-0000-0000-0249"/>
    <x v="8"/>
    <x v="3"/>
  </r>
  <r>
    <x v="88"/>
    <x v="0"/>
    <x v="2"/>
    <n v="45443.766488842593"/>
    <x v="5"/>
    <x v="0"/>
    <s v="ANON-0000-0000-0250"/>
    <x v="10"/>
    <x v="0"/>
  </r>
  <r>
    <x v="88"/>
    <x v="0"/>
    <x v="2"/>
    <n v="45443.767398969911"/>
    <x v="5"/>
    <x v="0"/>
    <s v="ANON-0000-0000-0250"/>
    <x v="10"/>
    <x v="0"/>
  </r>
  <r>
    <x v="88"/>
    <x v="0"/>
    <x v="2"/>
    <n v="45443.837953310183"/>
    <x v="12"/>
    <x v="0"/>
    <s v="ANON-0000-0000-0180"/>
    <x v="10"/>
    <x v="7"/>
  </r>
  <r>
    <x v="88"/>
    <x v="0"/>
    <x v="2"/>
    <n v="45443.856324108798"/>
    <x v="12"/>
    <x v="0"/>
    <s v="ANON-0000-0000-0134"/>
    <x v="8"/>
    <x v="3"/>
  </r>
  <r>
    <x v="88"/>
    <x v="0"/>
    <x v="2"/>
    <n v="45443.857325266203"/>
    <x v="12"/>
    <x v="0"/>
    <s v="ANON-0000-0000-0134"/>
    <x v="10"/>
    <x v="0"/>
  </r>
  <r>
    <x v="88"/>
    <x v="0"/>
    <x v="2"/>
    <n v="45443.920683680553"/>
    <x v="14"/>
    <x v="0"/>
    <s v="ANON-0000-0000-0206"/>
    <x v="10"/>
    <x v="7"/>
  </r>
  <r>
    <x v="88"/>
    <x v="0"/>
    <x v="2"/>
    <n v="45443.92144085648"/>
    <x v="14"/>
    <x v="0"/>
    <s v="ANON-0000-0000-0206"/>
    <x v="8"/>
    <x v="3"/>
  </r>
  <r>
    <x v="88"/>
    <x v="0"/>
    <x v="2"/>
    <n v="45443.922168611112"/>
    <x v="14"/>
    <x v="0"/>
    <s v="ANON-0000-0000-0206"/>
    <x v="11"/>
    <x v="5"/>
  </r>
  <r>
    <x v="89"/>
    <x v="0"/>
    <x v="3"/>
    <n v="45444.352103530095"/>
    <x v="13"/>
    <x v="0"/>
    <s v="ANON-0000-0000-0141"/>
    <x v="11"/>
    <x v="5"/>
  </r>
  <r>
    <x v="89"/>
    <x v="0"/>
    <x v="3"/>
    <n v="45444.408619791669"/>
    <x v="10"/>
    <x v="0"/>
    <s v="ANON-0000-0000-0232"/>
    <x v="10"/>
    <x v="0"/>
  </r>
  <r>
    <x v="89"/>
    <x v="0"/>
    <x v="3"/>
    <n v="45444.484830682872"/>
    <x v="7"/>
    <x v="0"/>
    <s v="ANON-0000-0000-0250"/>
    <x v="10"/>
    <x v="0"/>
  </r>
  <r>
    <x v="89"/>
    <x v="0"/>
    <x v="3"/>
    <n v="45444.603399756947"/>
    <x v="8"/>
    <x v="0"/>
    <s v="ANON-0000-0000-0097"/>
    <x v="8"/>
    <x v="3"/>
  </r>
  <r>
    <x v="89"/>
    <x v="0"/>
    <x v="3"/>
    <n v="45444.764036805558"/>
    <x v="5"/>
    <x v="0"/>
    <s v="ANON-0000-0000-0251"/>
    <x v="8"/>
    <x v="3"/>
  </r>
  <r>
    <x v="89"/>
    <x v="0"/>
    <x v="3"/>
    <n v="45444.764761145831"/>
    <x v="5"/>
    <x v="0"/>
    <s v="ANON-0000-0000-0251"/>
    <x v="8"/>
    <x v="3"/>
  </r>
  <r>
    <x v="89"/>
    <x v="0"/>
    <x v="3"/>
    <n v="45444.868176944445"/>
    <x v="12"/>
    <x v="0"/>
    <s v="ANON-0000-0000-0154"/>
    <x v="10"/>
    <x v="7"/>
  </r>
  <r>
    <x v="89"/>
    <x v="0"/>
    <x v="3"/>
    <n v="45444.868907002317"/>
    <x v="12"/>
    <x v="0"/>
    <s v="ANON-0000-0000-0154"/>
    <x v="10"/>
    <x v="7"/>
  </r>
  <r>
    <x v="89"/>
    <x v="0"/>
    <x v="3"/>
    <n v="45444.871519293978"/>
    <x v="12"/>
    <x v="1"/>
    <m/>
    <x v="9"/>
    <x v="4"/>
  </r>
  <r>
    <x v="89"/>
    <x v="0"/>
    <x v="3"/>
    <n v="45444.874417696759"/>
    <x v="12"/>
    <x v="0"/>
    <s v="ANON-0000-0000-0252"/>
    <x v="10"/>
    <x v="4"/>
  </r>
  <r>
    <x v="89"/>
    <x v="0"/>
    <x v="3"/>
    <n v="45444.910474201388"/>
    <x v="15"/>
    <x v="0"/>
    <s v="ANON-0000-0000-0009"/>
    <x v="8"/>
    <x v="3"/>
  </r>
  <r>
    <x v="90"/>
    <x v="0"/>
    <x v="3"/>
    <n v="45445.835715266207"/>
    <x v="12"/>
    <x v="0"/>
    <s v="ANON-0000-0000-0009"/>
    <x v="10"/>
    <x v="0"/>
  </r>
  <r>
    <x v="90"/>
    <x v="0"/>
    <x v="3"/>
    <n v="45445.85002834491"/>
    <x v="12"/>
    <x v="0"/>
    <s v="ANON-0000-0000-0040"/>
    <x v="8"/>
    <x v="3"/>
  </r>
  <r>
    <x v="90"/>
    <x v="0"/>
    <x v="3"/>
    <n v="45445.850778217595"/>
    <x v="12"/>
    <x v="0"/>
    <s v="ANON-0000-0000-0040"/>
    <x v="10"/>
    <x v="7"/>
  </r>
  <r>
    <x v="90"/>
    <x v="0"/>
    <x v="3"/>
    <n v="45445.880098738424"/>
    <x v="15"/>
    <x v="0"/>
    <s v="ANON-0000-0000-0097"/>
    <x v="8"/>
    <x v="3"/>
  </r>
  <r>
    <x v="90"/>
    <x v="0"/>
    <x v="3"/>
    <n v="45445.895977199078"/>
    <x v="15"/>
    <x v="0"/>
    <s v="ANON-0000-0000-0253"/>
    <x v="10"/>
    <x v="0"/>
  </r>
  <r>
    <x v="90"/>
    <x v="0"/>
    <x v="3"/>
    <n v="45445.946650879632"/>
    <x v="14"/>
    <x v="1"/>
    <m/>
    <x v="13"/>
    <x v="3"/>
  </r>
  <r>
    <x v="91"/>
    <x v="0"/>
    <x v="3"/>
    <n v="45446.425047928242"/>
    <x v="0"/>
    <x v="0"/>
    <s v="ANON-0000-0000-0001"/>
    <x v="10"/>
    <x v="0"/>
  </r>
  <r>
    <x v="91"/>
    <x v="0"/>
    <x v="3"/>
    <n v="45446.43599302083"/>
    <x v="0"/>
    <x v="0"/>
    <s v="ANON-0000-0000-0191"/>
    <x v="10"/>
    <x v="0"/>
  </r>
  <r>
    <x v="91"/>
    <x v="0"/>
    <x v="3"/>
    <n v="45446.605351134262"/>
    <x v="8"/>
    <x v="0"/>
    <s v="ANON-0000-0000-0025"/>
    <x v="10"/>
    <x v="7"/>
  </r>
  <r>
    <x v="91"/>
    <x v="0"/>
    <x v="3"/>
    <n v="45446.606261018518"/>
    <x v="8"/>
    <x v="0"/>
    <s v="ANON-0000-0000-0024"/>
    <x v="8"/>
    <x v="3"/>
  </r>
  <r>
    <x v="91"/>
    <x v="0"/>
    <x v="3"/>
    <n v="45446.607024560188"/>
    <x v="8"/>
    <x v="0"/>
    <s v="ANON-0000-0000-0009"/>
    <x v="10"/>
    <x v="0"/>
  </r>
  <r>
    <x v="91"/>
    <x v="0"/>
    <x v="3"/>
    <n v="45446.904765439816"/>
    <x v="15"/>
    <x v="1"/>
    <m/>
    <x v="13"/>
    <x v="3"/>
  </r>
  <r>
    <x v="91"/>
    <x v="0"/>
    <x v="3"/>
    <n v="45446.90529480324"/>
    <x v="15"/>
    <x v="1"/>
    <m/>
    <x v="13"/>
    <x v="3"/>
  </r>
  <r>
    <x v="92"/>
    <x v="0"/>
    <x v="3"/>
    <n v="45447.391468726855"/>
    <x v="10"/>
    <x v="0"/>
    <s v="ANON-0000-0000-0141"/>
    <x v="11"/>
    <x v="5"/>
  </r>
  <r>
    <x v="92"/>
    <x v="0"/>
    <x v="3"/>
    <n v="45447.435578414355"/>
    <x v="0"/>
    <x v="0"/>
    <s v="ANON-0000-0000-0097"/>
    <x v="8"/>
    <x v="3"/>
  </r>
  <r>
    <x v="92"/>
    <x v="0"/>
    <x v="3"/>
    <n v="45447.501507094908"/>
    <x v="1"/>
    <x v="0"/>
    <s v="ANON-0000-0000-0254"/>
    <x v="10"/>
    <x v="0"/>
  </r>
  <r>
    <x v="92"/>
    <x v="0"/>
    <x v="3"/>
    <n v="45447.503810023147"/>
    <x v="1"/>
    <x v="0"/>
    <s v="ANON-0000-0000-0254"/>
    <x v="10"/>
    <x v="1"/>
  </r>
  <r>
    <x v="92"/>
    <x v="0"/>
    <x v="3"/>
    <n v="45447.646208969905"/>
    <x v="3"/>
    <x v="0"/>
    <s v="ANON-0000-0000-0255"/>
    <x v="10"/>
    <x v="0"/>
  </r>
  <r>
    <x v="92"/>
    <x v="0"/>
    <x v="3"/>
    <n v="45447.74070209491"/>
    <x v="9"/>
    <x v="0"/>
    <s v="ANON-0000-0000-0192"/>
    <x v="11"/>
    <x v="5"/>
  </r>
  <r>
    <x v="92"/>
    <x v="0"/>
    <x v="3"/>
    <n v="45447.741306099539"/>
    <x v="9"/>
    <x v="0"/>
    <s v="ANON-0000-0000-0192"/>
    <x v="10"/>
    <x v="7"/>
  </r>
  <r>
    <x v="92"/>
    <x v="0"/>
    <x v="3"/>
    <n v="45447.842375046297"/>
    <x v="12"/>
    <x v="0"/>
    <s v="ANON-0000-0000-0256"/>
    <x v="10"/>
    <x v="1"/>
  </r>
  <r>
    <x v="92"/>
    <x v="0"/>
    <x v="3"/>
    <n v="45447.868447870373"/>
    <x v="12"/>
    <x v="0"/>
    <s v="ANON-0000-0000-0257"/>
    <x v="10"/>
    <x v="7"/>
  </r>
  <r>
    <x v="92"/>
    <x v="0"/>
    <x v="3"/>
    <n v="45447.897209583331"/>
    <x v="15"/>
    <x v="0"/>
    <s v="ANON-0000-0000-0258"/>
    <x v="11"/>
    <x v="5"/>
  </r>
  <r>
    <x v="92"/>
    <x v="0"/>
    <x v="3"/>
    <n v="45447.897947002311"/>
    <x v="15"/>
    <x v="0"/>
    <s v="ANON-0000-0000-0259"/>
    <x v="8"/>
    <x v="3"/>
  </r>
  <r>
    <x v="92"/>
    <x v="0"/>
    <x v="3"/>
    <n v="45447.899255405093"/>
    <x v="15"/>
    <x v="0"/>
    <s v="ANON-0000-0000-0260"/>
    <x v="8"/>
    <x v="3"/>
  </r>
  <r>
    <x v="92"/>
    <x v="0"/>
    <x v="3"/>
    <n v="45447.90008013889"/>
    <x v="15"/>
    <x v="0"/>
    <s v="ANON-0000-0000-0260"/>
    <x v="8"/>
    <x v="3"/>
  </r>
  <r>
    <x v="92"/>
    <x v="0"/>
    <x v="3"/>
    <n v="45447.900869953701"/>
    <x v="15"/>
    <x v="0"/>
    <s v="ANON-0000-0000-0260"/>
    <x v="8"/>
    <x v="3"/>
  </r>
  <r>
    <x v="93"/>
    <x v="0"/>
    <x v="3"/>
    <n v="45448.348483379632"/>
    <x v="13"/>
    <x v="0"/>
    <s v="ANON-0000-0000-0261"/>
    <x v="10"/>
    <x v="7"/>
  </r>
  <r>
    <x v="93"/>
    <x v="0"/>
    <x v="3"/>
    <n v="45448.349383368055"/>
    <x v="13"/>
    <x v="0"/>
    <s v="ANON-0000-0000-0261"/>
    <x v="10"/>
    <x v="7"/>
  </r>
  <r>
    <x v="93"/>
    <x v="0"/>
    <x v="3"/>
    <n v="45448.390776712964"/>
    <x v="10"/>
    <x v="0"/>
    <s v="ANON-0000-0000-0262"/>
    <x v="11"/>
    <x v="2"/>
  </r>
  <r>
    <x v="93"/>
    <x v="0"/>
    <x v="3"/>
    <n v="45448.436696990742"/>
    <x v="0"/>
    <x v="0"/>
    <s v="ANON-0000-0000-0001"/>
    <x v="10"/>
    <x v="0"/>
  </r>
  <r>
    <x v="93"/>
    <x v="0"/>
    <x v="3"/>
    <n v="45448.445060046295"/>
    <x v="0"/>
    <x v="0"/>
    <s v="ANON-0000-0000-0097"/>
    <x v="8"/>
    <x v="3"/>
  </r>
  <r>
    <x v="93"/>
    <x v="0"/>
    <x v="3"/>
    <n v="45448.822195312503"/>
    <x v="6"/>
    <x v="0"/>
    <s v="ANON-0000-0000-0263"/>
    <x v="8"/>
    <x v="3"/>
  </r>
  <r>
    <x v="93"/>
    <x v="0"/>
    <x v="3"/>
    <n v="45448.83325841435"/>
    <x v="6"/>
    <x v="0"/>
    <s v="ANON-0000-0000-0264"/>
    <x v="10"/>
    <x v="0"/>
  </r>
  <r>
    <x v="93"/>
    <x v="0"/>
    <x v="3"/>
    <n v="45448.840828969907"/>
    <x v="12"/>
    <x v="0"/>
    <s v="ANON-0000-0000-0220"/>
    <x v="10"/>
    <x v="4"/>
  </r>
  <r>
    <x v="93"/>
    <x v="0"/>
    <x v="3"/>
    <n v="45448.841685856481"/>
    <x v="12"/>
    <x v="0"/>
    <s v="ANON-0000-0000-0220"/>
    <x v="11"/>
    <x v="5"/>
  </r>
  <r>
    <x v="94"/>
    <x v="0"/>
    <x v="3"/>
    <n v="45449.37009665509"/>
    <x v="13"/>
    <x v="0"/>
    <s v="ANON-0000-0000-0097"/>
    <x v="8"/>
    <x v="3"/>
  </r>
  <r>
    <x v="94"/>
    <x v="0"/>
    <x v="3"/>
    <n v="45449.370931192127"/>
    <x v="13"/>
    <x v="0"/>
    <s v="ANON-0000-0000-0097"/>
    <x v="8"/>
    <x v="3"/>
  </r>
  <r>
    <x v="94"/>
    <x v="0"/>
    <x v="3"/>
    <n v="45449.441778553242"/>
    <x v="0"/>
    <x v="0"/>
    <s v="ANON-0000-0000-0001"/>
    <x v="10"/>
    <x v="0"/>
  </r>
  <r>
    <x v="94"/>
    <x v="0"/>
    <x v="3"/>
    <n v="45449.512285578705"/>
    <x v="1"/>
    <x v="0"/>
    <s v="ANON-0000-0000-0265"/>
    <x v="11"/>
    <x v="2"/>
  </r>
  <r>
    <x v="94"/>
    <x v="0"/>
    <x v="3"/>
    <n v="45449.632803067128"/>
    <x v="3"/>
    <x v="0"/>
    <s v="ANON-0000-0000-0224"/>
    <x v="8"/>
    <x v="3"/>
  </r>
  <r>
    <x v="94"/>
    <x v="0"/>
    <x v="3"/>
    <n v="45449.641738668979"/>
    <x v="3"/>
    <x v="0"/>
    <s v="ANON-0000-0000-0266"/>
    <x v="10"/>
    <x v="7"/>
  </r>
  <r>
    <x v="94"/>
    <x v="0"/>
    <x v="3"/>
    <n v="45449.884781273147"/>
    <x v="15"/>
    <x v="0"/>
    <s v="ANON-0000-0000-0267"/>
    <x v="10"/>
    <x v="0"/>
  </r>
  <r>
    <x v="94"/>
    <x v="0"/>
    <x v="3"/>
    <n v="45449.885905405092"/>
    <x v="15"/>
    <x v="0"/>
    <s v="ANON-0000-0000-0267"/>
    <x v="10"/>
    <x v="0"/>
  </r>
  <r>
    <x v="94"/>
    <x v="0"/>
    <x v="3"/>
    <n v="45449.887809178239"/>
    <x v="15"/>
    <x v="0"/>
    <s v="ANON-0000-0000-0206"/>
    <x v="10"/>
    <x v="7"/>
  </r>
  <r>
    <x v="94"/>
    <x v="0"/>
    <x v="3"/>
    <n v="45449.888546712966"/>
    <x v="15"/>
    <x v="0"/>
    <s v="ANON-0000-0000-0206"/>
    <x v="8"/>
    <x v="3"/>
  </r>
  <r>
    <x v="94"/>
    <x v="0"/>
    <x v="3"/>
    <n v="45449.889634722225"/>
    <x v="15"/>
    <x v="0"/>
    <s v="ANON-0000-0000-0267"/>
    <x v="10"/>
    <x v="0"/>
  </r>
  <r>
    <x v="95"/>
    <x v="0"/>
    <x v="3"/>
    <n v="45450.345883055554"/>
    <x v="13"/>
    <x v="0"/>
    <s v="ANON-0000-0000-0268"/>
    <x v="10"/>
    <x v="7"/>
  </r>
  <r>
    <x v="95"/>
    <x v="0"/>
    <x v="3"/>
    <n v="45450.441297500001"/>
    <x v="0"/>
    <x v="0"/>
    <s v="ANON-0000-0000-0269"/>
    <x v="14"/>
    <x v="6"/>
  </r>
  <r>
    <x v="95"/>
    <x v="0"/>
    <x v="3"/>
    <n v="45450.565489548608"/>
    <x v="2"/>
    <x v="0"/>
    <s v="ANON-0000-0000-0164"/>
    <x v="8"/>
    <x v="3"/>
  </r>
  <r>
    <x v="95"/>
    <x v="0"/>
    <x v="3"/>
    <n v="45450.698405300929"/>
    <x v="4"/>
    <x v="0"/>
    <s v="ANON-0000-0000-0270"/>
    <x v="11"/>
    <x v="5"/>
  </r>
  <r>
    <x v="95"/>
    <x v="0"/>
    <x v="3"/>
    <n v="45450.699484733799"/>
    <x v="4"/>
    <x v="0"/>
    <s v="ANON-0000-0000-0270"/>
    <x v="11"/>
    <x v="5"/>
  </r>
  <r>
    <x v="96"/>
    <x v="0"/>
    <x v="3"/>
    <n v="45451.378009444445"/>
    <x v="10"/>
    <x v="0"/>
    <s v="ANON-0000-0000-0271"/>
    <x v="11"/>
    <x v="5"/>
  </r>
  <r>
    <x v="96"/>
    <x v="0"/>
    <x v="3"/>
    <n v="45451.393184722219"/>
    <x v="10"/>
    <x v="0"/>
    <s v="ANON-0000-0000-0097"/>
    <x v="8"/>
    <x v="3"/>
  </r>
  <r>
    <x v="96"/>
    <x v="0"/>
    <x v="3"/>
    <n v="45451.850628703702"/>
    <x v="12"/>
    <x v="0"/>
    <s v="ANON-0000-0000-0134"/>
    <x v="10"/>
    <x v="7"/>
  </r>
  <r>
    <x v="96"/>
    <x v="0"/>
    <x v="3"/>
    <n v="45451.851346249998"/>
    <x v="12"/>
    <x v="0"/>
    <s v="ANON-0000-0000-0134"/>
    <x v="10"/>
    <x v="7"/>
  </r>
  <r>
    <x v="97"/>
    <x v="0"/>
    <x v="3"/>
    <n v="45452.344360648145"/>
    <x v="13"/>
    <x v="0"/>
    <s v="ANON-0000-0000-0097"/>
    <x v="10"/>
    <x v="0"/>
  </r>
  <r>
    <x v="97"/>
    <x v="0"/>
    <x v="3"/>
    <n v="45452.437551631941"/>
    <x v="0"/>
    <x v="0"/>
    <s v="ANON-0000-0000-0272"/>
    <x v="10"/>
    <x v="0"/>
  </r>
  <r>
    <x v="97"/>
    <x v="0"/>
    <x v="3"/>
    <n v="45452.452844872685"/>
    <x v="0"/>
    <x v="0"/>
    <s v="ANON-0000-0000-0273"/>
    <x v="10"/>
    <x v="7"/>
  </r>
  <r>
    <x v="97"/>
    <x v="0"/>
    <x v="3"/>
    <n v="45452.461589189814"/>
    <x v="7"/>
    <x v="0"/>
    <s v="ANON-0000-0000-0141"/>
    <x v="11"/>
    <x v="5"/>
  </r>
  <r>
    <x v="97"/>
    <x v="0"/>
    <x v="3"/>
    <n v="45452.463288287036"/>
    <x v="7"/>
    <x v="0"/>
    <s v="ANON-0000-0000-0274"/>
    <x v="14"/>
    <x v="6"/>
  </r>
  <r>
    <x v="97"/>
    <x v="0"/>
    <x v="3"/>
    <n v="45452.495018703703"/>
    <x v="7"/>
    <x v="0"/>
    <s v="ANON-0000-0000-0275"/>
    <x v="10"/>
    <x v="7"/>
  </r>
  <r>
    <x v="97"/>
    <x v="0"/>
    <x v="3"/>
    <n v="45452.507912499997"/>
    <x v="1"/>
    <x v="0"/>
    <s v="ANON-0000-0000-0276"/>
    <x v="8"/>
    <x v="3"/>
  </r>
  <r>
    <x v="97"/>
    <x v="0"/>
    <x v="3"/>
    <n v="45452.509121145835"/>
    <x v="1"/>
    <x v="0"/>
    <s v="ANON-0000-0000-0276"/>
    <x v="10"/>
    <x v="0"/>
  </r>
  <r>
    <x v="97"/>
    <x v="0"/>
    <x v="3"/>
    <n v="45452.50984702546"/>
    <x v="1"/>
    <x v="0"/>
    <s v="ANON-0000-0000-0276"/>
    <x v="10"/>
    <x v="0"/>
  </r>
  <r>
    <x v="97"/>
    <x v="0"/>
    <x v="3"/>
    <n v="45452.632299675926"/>
    <x v="3"/>
    <x v="0"/>
    <s v="ANON-0000-0000-0277"/>
    <x v="11"/>
    <x v="5"/>
  </r>
  <r>
    <x v="97"/>
    <x v="0"/>
    <x v="3"/>
    <n v="45452.678798483794"/>
    <x v="4"/>
    <x v="0"/>
    <s v="ANON-0000-0000-0278"/>
    <x v="10"/>
    <x v="7"/>
  </r>
  <r>
    <x v="97"/>
    <x v="0"/>
    <x v="3"/>
    <n v="45452.806473113429"/>
    <x v="6"/>
    <x v="0"/>
    <s v="ANON-0000-0000-0279"/>
    <x v="8"/>
    <x v="3"/>
  </r>
  <r>
    <x v="97"/>
    <x v="0"/>
    <x v="3"/>
    <n v="45452.87857458333"/>
    <x v="15"/>
    <x v="0"/>
    <s v="ANON-0000-0000-0280"/>
    <x v="11"/>
    <x v="2"/>
  </r>
  <r>
    <x v="98"/>
    <x v="0"/>
    <x v="3"/>
    <n v="45453.5332159838"/>
    <x v="1"/>
    <x v="0"/>
    <s v="ANON-0000-0000-0281"/>
    <x v="10"/>
    <x v="7"/>
  </r>
  <r>
    <x v="98"/>
    <x v="0"/>
    <x v="3"/>
    <n v="45453.539447546296"/>
    <x v="1"/>
    <x v="0"/>
    <s v="ANON-0000-0000-0097"/>
    <x v="10"/>
    <x v="0"/>
  </r>
  <r>
    <x v="98"/>
    <x v="0"/>
    <x v="3"/>
    <n v="45453.794769745371"/>
    <x v="6"/>
    <x v="0"/>
    <s v="ANON-0000-0000-0282"/>
    <x v="10"/>
    <x v="1"/>
  </r>
  <r>
    <x v="98"/>
    <x v="0"/>
    <x v="3"/>
    <n v="45453.795402430558"/>
    <x v="6"/>
    <x v="0"/>
    <s v="ANON-0000-0000-0282"/>
    <x v="10"/>
    <x v="1"/>
  </r>
  <r>
    <x v="98"/>
    <x v="0"/>
    <x v="3"/>
    <n v="45453.817634282408"/>
    <x v="6"/>
    <x v="0"/>
    <s v="ANON-0000-0000-0283"/>
    <x v="10"/>
    <x v="0"/>
  </r>
  <r>
    <x v="98"/>
    <x v="0"/>
    <x v="3"/>
    <n v="45453.818283310182"/>
    <x v="6"/>
    <x v="0"/>
    <s v="ANON-0000-0000-0283"/>
    <x v="10"/>
    <x v="0"/>
  </r>
  <r>
    <x v="99"/>
    <x v="0"/>
    <x v="3"/>
    <n v="45454.443101307872"/>
    <x v="0"/>
    <x v="0"/>
    <s v="ANON-0000-0000-0284"/>
    <x v="8"/>
    <x v="3"/>
  </r>
  <r>
    <x v="99"/>
    <x v="0"/>
    <x v="3"/>
    <n v="45454.783626064818"/>
    <x v="5"/>
    <x v="0"/>
    <s v="ANON-0000-0000-0285"/>
    <x v="10"/>
    <x v="0"/>
  </r>
  <r>
    <x v="99"/>
    <x v="0"/>
    <x v="3"/>
    <n v="45454.784449398147"/>
    <x v="5"/>
    <x v="0"/>
    <s v="ANON-0000-0000-0285"/>
    <x v="10"/>
    <x v="0"/>
  </r>
  <r>
    <x v="99"/>
    <x v="0"/>
    <x v="3"/>
    <n v="45454.886844259257"/>
    <x v="15"/>
    <x v="0"/>
    <s v="ANON-0000-0000-0286"/>
    <x v="10"/>
    <x v="1"/>
  </r>
  <r>
    <x v="99"/>
    <x v="0"/>
    <x v="3"/>
    <n v="45454.894234953703"/>
    <x v="15"/>
    <x v="0"/>
    <s v="ANON-0000-0000-0287"/>
    <x v="8"/>
    <x v="3"/>
  </r>
  <r>
    <x v="99"/>
    <x v="0"/>
    <x v="3"/>
    <n v="45454.895025694444"/>
    <x v="15"/>
    <x v="0"/>
    <s v="ANON-0000-0000-0287"/>
    <x v="8"/>
    <x v="3"/>
  </r>
  <r>
    <x v="100"/>
    <x v="0"/>
    <x v="3"/>
    <n v="45455.429384097224"/>
    <x v="0"/>
    <x v="0"/>
    <s v="ANON-0000-0000-0288"/>
    <x v="10"/>
    <x v="1"/>
  </r>
  <r>
    <x v="100"/>
    <x v="0"/>
    <x v="3"/>
    <n v="45455.494257615741"/>
    <x v="7"/>
    <x v="0"/>
    <s v="ANON-0000-0000-0289"/>
    <x v="10"/>
    <x v="7"/>
  </r>
  <r>
    <x v="100"/>
    <x v="0"/>
    <x v="3"/>
    <n v="45455.737004386574"/>
    <x v="9"/>
    <x v="0"/>
    <s v="ANON-0000-0000-0283"/>
    <x v="10"/>
    <x v="0"/>
  </r>
  <r>
    <x v="100"/>
    <x v="0"/>
    <x v="3"/>
    <n v="45455.741294884261"/>
    <x v="9"/>
    <x v="0"/>
    <s v="ANON-0000-0000-0290"/>
    <x v="10"/>
    <x v="0"/>
  </r>
  <r>
    <x v="100"/>
    <x v="0"/>
    <x v="3"/>
    <n v="45455.844833888892"/>
    <x v="12"/>
    <x v="0"/>
    <s v="ANON-0000-0000-0256"/>
    <x v="10"/>
    <x v="1"/>
  </r>
  <r>
    <x v="100"/>
    <x v="0"/>
    <x v="3"/>
    <n v="45455.851090729164"/>
    <x v="12"/>
    <x v="0"/>
    <s v="ANON-0000-0000-0291"/>
    <x v="8"/>
    <x v="3"/>
  </r>
  <r>
    <x v="101"/>
    <x v="0"/>
    <x v="3"/>
    <n v="45456.371113506946"/>
    <x v="13"/>
    <x v="0"/>
    <s v="ANON-0000-0000-0292"/>
    <x v="11"/>
    <x v="2"/>
  </r>
  <r>
    <x v="101"/>
    <x v="0"/>
    <x v="3"/>
    <n v="45456.37321287037"/>
    <x v="13"/>
    <x v="0"/>
    <s v="ANON-0000-0000-0097"/>
    <x v="10"/>
    <x v="0"/>
  </r>
  <r>
    <x v="101"/>
    <x v="0"/>
    <x v="3"/>
    <n v="45456.41001201389"/>
    <x v="10"/>
    <x v="0"/>
    <s v="ANON-0000-0000-0293"/>
    <x v="8"/>
    <x v="3"/>
  </r>
  <r>
    <x v="101"/>
    <x v="0"/>
    <x v="3"/>
    <n v="45456.414716643521"/>
    <x v="10"/>
    <x v="0"/>
    <s v="ANON-0000-0000-0141"/>
    <x v="11"/>
    <x v="5"/>
  </r>
  <r>
    <x v="101"/>
    <x v="0"/>
    <x v="3"/>
    <n v="45456.711789363428"/>
    <x v="9"/>
    <x v="0"/>
    <s v="ANON-0000-0000-0294"/>
    <x v="8"/>
    <x v="3"/>
  </r>
  <r>
    <x v="101"/>
    <x v="0"/>
    <x v="3"/>
    <n v="45456.727622986109"/>
    <x v="9"/>
    <x v="0"/>
    <s v="ANON-0000-0000-0295"/>
    <x v="10"/>
    <x v="1"/>
  </r>
  <r>
    <x v="101"/>
    <x v="0"/>
    <x v="3"/>
    <n v="45456.807165312501"/>
    <x v="6"/>
    <x v="0"/>
    <s v="ANON-0000-0000-0296"/>
    <x v="10"/>
    <x v="0"/>
  </r>
  <r>
    <x v="101"/>
    <x v="0"/>
    <x v="3"/>
    <n v="45456.847821319447"/>
    <x v="12"/>
    <x v="0"/>
    <s v="ANON-0000-0000-0012"/>
    <x v="8"/>
    <x v="3"/>
  </r>
  <r>
    <x v="101"/>
    <x v="0"/>
    <x v="3"/>
    <n v="45456.863726747688"/>
    <x v="12"/>
    <x v="0"/>
    <s v="ANON-0000-0000-0012"/>
    <x v="14"/>
    <x v="6"/>
  </r>
  <r>
    <x v="101"/>
    <x v="0"/>
    <x v="3"/>
    <n v="45456.864590451391"/>
    <x v="12"/>
    <x v="0"/>
    <s v="ANON-0000-0000-0295"/>
    <x v="14"/>
    <x v="6"/>
  </r>
  <r>
    <x v="101"/>
    <x v="0"/>
    <x v="3"/>
    <n v="45456.866873865743"/>
    <x v="12"/>
    <x v="0"/>
    <s v="ANON-0000-0000-0009"/>
    <x v="8"/>
    <x v="3"/>
  </r>
  <r>
    <x v="101"/>
    <x v="0"/>
    <x v="3"/>
    <n v="45456.876717326391"/>
    <x v="15"/>
    <x v="0"/>
    <s v="ANON-0000-0000-0009"/>
    <x v="8"/>
    <x v="3"/>
  </r>
  <r>
    <x v="102"/>
    <x v="0"/>
    <x v="3"/>
    <n v="45457.323764328707"/>
    <x v="11"/>
    <x v="0"/>
    <s v="ANON-0000-0000-0141"/>
    <x v="11"/>
    <x v="5"/>
  </r>
  <r>
    <x v="102"/>
    <x v="0"/>
    <x v="3"/>
    <n v="45457.437865555556"/>
    <x v="0"/>
    <x v="0"/>
    <s v="ANON-0000-0000-0297"/>
    <x v="11"/>
    <x v="2"/>
  </r>
  <r>
    <x v="102"/>
    <x v="0"/>
    <x v="3"/>
    <n v="45457.510204814818"/>
    <x v="1"/>
    <x v="0"/>
    <s v="ANON-0000-0000-0097"/>
    <x v="10"/>
    <x v="0"/>
  </r>
  <r>
    <x v="102"/>
    <x v="0"/>
    <x v="3"/>
    <n v="45457.77075693287"/>
    <x v="5"/>
    <x v="0"/>
    <s v="ANON-0000-0000-0298"/>
    <x v="8"/>
    <x v="3"/>
  </r>
  <r>
    <x v="103"/>
    <x v="0"/>
    <x v="3"/>
    <n v="45458.476411736112"/>
    <x v="7"/>
    <x v="0"/>
    <s v="ANON-0000-0000-0299"/>
    <x v="10"/>
    <x v="7"/>
  </r>
  <r>
    <x v="103"/>
    <x v="0"/>
    <x v="3"/>
    <n v="45458.514908969904"/>
    <x v="1"/>
    <x v="0"/>
    <s v="ANON-0000-0000-0300"/>
    <x v="10"/>
    <x v="0"/>
  </r>
  <r>
    <x v="103"/>
    <x v="0"/>
    <x v="3"/>
    <n v="45458.51582108796"/>
    <x v="1"/>
    <x v="0"/>
    <s v="ANON-0000-0000-0300"/>
    <x v="8"/>
    <x v="3"/>
  </r>
  <r>
    <x v="103"/>
    <x v="0"/>
    <x v="3"/>
    <n v="45458.516575995367"/>
    <x v="1"/>
    <x v="0"/>
    <s v="ANON-0000-0000-0300"/>
    <x v="14"/>
    <x v="6"/>
  </r>
  <r>
    <x v="103"/>
    <x v="0"/>
    <x v="3"/>
    <n v="45458.517073263887"/>
    <x v="1"/>
    <x v="0"/>
    <s v="ANON-0000-0000-0300"/>
    <x v="10"/>
    <x v="4"/>
  </r>
  <r>
    <x v="103"/>
    <x v="0"/>
    <x v="3"/>
    <n v="45458.517638425925"/>
    <x v="1"/>
    <x v="0"/>
    <s v="ANON-0000-0000-0300"/>
    <x v="8"/>
    <x v="3"/>
  </r>
  <r>
    <x v="103"/>
    <x v="0"/>
    <x v="3"/>
    <n v="45458.669096168982"/>
    <x v="4"/>
    <x v="0"/>
    <s v="ANON-0000-0000-0301"/>
    <x v="8"/>
    <x v="3"/>
  </r>
  <r>
    <x v="103"/>
    <x v="0"/>
    <x v="3"/>
    <n v="45458.759775729166"/>
    <x v="5"/>
    <x v="0"/>
    <s v="ANON-0000-0000-0302"/>
    <x v="11"/>
    <x v="2"/>
  </r>
  <r>
    <x v="104"/>
    <x v="0"/>
    <x v="3"/>
    <n v="45459.447123333332"/>
    <x v="0"/>
    <x v="0"/>
    <s v="ANON-0000-0000-0059"/>
    <x v="8"/>
    <x v="3"/>
  </r>
  <r>
    <x v="104"/>
    <x v="0"/>
    <x v="3"/>
    <n v="45459.457423217595"/>
    <x v="0"/>
    <x v="0"/>
    <s v="ANON-0000-0000-0303"/>
    <x v="10"/>
    <x v="0"/>
  </r>
  <r>
    <x v="104"/>
    <x v="0"/>
    <x v="3"/>
    <n v="45459.458775358798"/>
    <x v="7"/>
    <x v="0"/>
    <s v="ANON-0000-0000-0303"/>
    <x v="10"/>
    <x v="1"/>
  </r>
  <r>
    <x v="104"/>
    <x v="0"/>
    <x v="3"/>
    <n v="45459.459507962965"/>
    <x v="7"/>
    <x v="0"/>
    <s v="ANON-0000-0000-0303"/>
    <x v="10"/>
    <x v="1"/>
  </r>
  <r>
    <x v="104"/>
    <x v="0"/>
    <x v="3"/>
    <n v="45459.534347499997"/>
    <x v="1"/>
    <x v="0"/>
    <s v="ANON-0000-0000-0276"/>
    <x v="8"/>
    <x v="3"/>
  </r>
  <r>
    <x v="104"/>
    <x v="0"/>
    <x v="3"/>
    <n v="45459.583784629627"/>
    <x v="8"/>
    <x v="0"/>
    <s v="ANON-0000-0000-0274"/>
    <x v="14"/>
    <x v="6"/>
  </r>
  <r>
    <x v="104"/>
    <x v="0"/>
    <x v="3"/>
    <n v="45459.626809398149"/>
    <x v="3"/>
    <x v="0"/>
    <s v="ANON-0000-0000-0304"/>
    <x v="8"/>
    <x v="3"/>
  </r>
  <r>
    <x v="104"/>
    <x v="0"/>
    <x v="3"/>
    <n v="45459.628592835645"/>
    <x v="3"/>
    <x v="0"/>
    <s v="ANON-0000-0000-0304"/>
    <x v="8"/>
    <x v="3"/>
  </r>
  <r>
    <x v="104"/>
    <x v="0"/>
    <x v="3"/>
    <n v="45459.655550844909"/>
    <x v="3"/>
    <x v="0"/>
    <s v="ANON-0000-0000-0305"/>
    <x v="10"/>
    <x v="1"/>
  </r>
  <r>
    <x v="104"/>
    <x v="0"/>
    <x v="3"/>
    <n v="45459.699728252315"/>
    <x v="4"/>
    <x v="0"/>
    <s v="ANON-0000-0000-0306"/>
    <x v="10"/>
    <x v="1"/>
  </r>
  <r>
    <x v="104"/>
    <x v="0"/>
    <x v="3"/>
    <n v="45459.739783182871"/>
    <x v="9"/>
    <x v="0"/>
    <s v="ANON-0000-0000-0059"/>
    <x v="8"/>
    <x v="3"/>
  </r>
  <r>
    <x v="104"/>
    <x v="0"/>
    <x v="3"/>
    <n v="45459.740469375"/>
    <x v="9"/>
    <x v="0"/>
    <s v="ANON-0000-0000-0059"/>
    <x v="8"/>
    <x v="3"/>
  </r>
  <r>
    <x v="105"/>
    <x v="0"/>
    <x v="3"/>
    <n v="45460.373194953703"/>
    <x v="13"/>
    <x v="0"/>
    <s v="ANON-0000-0000-0307"/>
    <x v="11"/>
    <x v="2"/>
  </r>
  <r>
    <x v="105"/>
    <x v="0"/>
    <x v="3"/>
    <n v="45460.425059479167"/>
    <x v="0"/>
    <x v="0"/>
    <s v="ANON-0000-0000-0308"/>
    <x v="11"/>
    <x v="5"/>
  </r>
  <r>
    <x v="105"/>
    <x v="0"/>
    <x v="3"/>
    <n v="45460.426129340274"/>
    <x v="0"/>
    <x v="0"/>
    <s v="ANON-0000-0000-0308"/>
    <x v="11"/>
    <x v="5"/>
  </r>
  <r>
    <x v="105"/>
    <x v="0"/>
    <x v="3"/>
    <n v="45460.455458425924"/>
    <x v="0"/>
    <x v="0"/>
    <s v="ANON-0000-0000-0042"/>
    <x v="10"/>
    <x v="7"/>
  </r>
  <r>
    <x v="105"/>
    <x v="0"/>
    <x v="3"/>
    <n v="45460.619159502312"/>
    <x v="8"/>
    <x v="0"/>
    <s v="ANON-0000-0000-0164"/>
    <x v="10"/>
    <x v="7"/>
  </r>
  <r>
    <x v="105"/>
    <x v="0"/>
    <x v="3"/>
    <n v="45460.701544456017"/>
    <x v="4"/>
    <x v="0"/>
    <s v="ANON-0000-0000-0012"/>
    <x v="10"/>
    <x v="7"/>
  </r>
  <r>
    <x v="105"/>
    <x v="0"/>
    <x v="3"/>
    <n v="45460.702211087962"/>
    <x v="4"/>
    <x v="0"/>
    <s v="ANON-0000-0000-0012"/>
    <x v="10"/>
    <x v="7"/>
  </r>
  <r>
    <x v="105"/>
    <x v="0"/>
    <x v="3"/>
    <n v="45460.703198333336"/>
    <x v="4"/>
    <x v="0"/>
    <s v="ANON-0000-0000-0012"/>
    <x v="11"/>
    <x v="2"/>
  </r>
  <r>
    <x v="105"/>
    <x v="0"/>
    <x v="3"/>
    <n v="45460.785643877316"/>
    <x v="5"/>
    <x v="0"/>
    <s v="ANON-0000-0000-0309"/>
    <x v="11"/>
    <x v="2"/>
  </r>
  <r>
    <x v="105"/>
    <x v="0"/>
    <x v="3"/>
    <n v="45460.88624403935"/>
    <x v="15"/>
    <x v="0"/>
    <s v="ANON-0000-0000-0009"/>
    <x v="8"/>
    <x v="3"/>
  </r>
  <r>
    <x v="106"/>
    <x v="0"/>
    <x v="3"/>
    <n v="45461.586182002313"/>
    <x v="8"/>
    <x v="0"/>
    <s v="ANON-0000-0000-0299"/>
    <x v="11"/>
    <x v="2"/>
  </r>
  <r>
    <x v="106"/>
    <x v="0"/>
    <x v="3"/>
    <n v="45461.586948067132"/>
    <x v="8"/>
    <x v="0"/>
    <s v="ANON-0000-0000-0299"/>
    <x v="10"/>
    <x v="7"/>
  </r>
  <r>
    <x v="106"/>
    <x v="0"/>
    <x v="3"/>
    <n v="45461.806025127313"/>
    <x v="6"/>
    <x v="0"/>
    <s v="ANON-0000-0000-0154"/>
    <x v="10"/>
    <x v="7"/>
  </r>
  <r>
    <x v="106"/>
    <x v="0"/>
    <x v="3"/>
    <n v="45461.806700138892"/>
    <x v="6"/>
    <x v="0"/>
    <s v="ANON-0000-0000-0154"/>
    <x v="10"/>
    <x v="7"/>
  </r>
  <r>
    <x v="106"/>
    <x v="0"/>
    <x v="3"/>
    <n v="45461.858211770836"/>
    <x v="12"/>
    <x v="0"/>
    <s v="ANON-0000-0000-0310"/>
    <x v="11"/>
    <x v="5"/>
  </r>
  <r>
    <x v="106"/>
    <x v="0"/>
    <x v="3"/>
    <n v="45461.889462106483"/>
    <x v="15"/>
    <x v="0"/>
    <s v="ANON-0000-0000-0012"/>
    <x v="8"/>
    <x v="3"/>
  </r>
  <r>
    <x v="106"/>
    <x v="0"/>
    <x v="3"/>
    <n v="45461.890492106482"/>
    <x v="15"/>
    <x v="0"/>
    <s v="ANON-0000-0000-0012"/>
    <x v="8"/>
    <x v="3"/>
  </r>
  <r>
    <x v="107"/>
    <x v="0"/>
    <x v="3"/>
    <n v="45462.32453510417"/>
    <x v="11"/>
    <x v="0"/>
    <s v="ANON-0000-0000-0311"/>
    <x v="10"/>
    <x v="0"/>
  </r>
  <r>
    <x v="107"/>
    <x v="0"/>
    <x v="3"/>
    <n v="45462.345769768515"/>
    <x v="13"/>
    <x v="0"/>
    <s v="ANON-0000-0000-0141"/>
    <x v="11"/>
    <x v="5"/>
  </r>
  <r>
    <x v="107"/>
    <x v="0"/>
    <x v="3"/>
    <n v="45462.454172361111"/>
    <x v="0"/>
    <x v="0"/>
    <s v="ANON-0000-0000-0312"/>
    <x v="11"/>
    <x v="2"/>
  </r>
  <r>
    <x v="107"/>
    <x v="0"/>
    <x v="3"/>
    <n v="45462.466294062498"/>
    <x v="7"/>
    <x v="0"/>
    <s v="ANON-0000-0000-0313"/>
    <x v="10"/>
    <x v="0"/>
  </r>
  <r>
    <x v="107"/>
    <x v="0"/>
    <x v="3"/>
    <n v="45462.467030231484"/>
    <x v="7"/>
    <x v="0"/>
    <s v="ANON-0000-0000-0313"/>
    <x v="10"/>
    <x v="4"/>
  </r>
  <r>
    <x v="107"/>
    <x v="0"/>
    <x v="3"/>
    <n v="45462.598336319446"/>
    <x v="8"/>
    <x v="0"/>
    <s v="ANON-0000-0000-0164"/>
    <x v="8"/>
    <x v="3"/>
  </r>
  <r>
    <x v="107"/>
    <x v="0"/>
    <x v="3"/>
    <n v="45462.769947187502"/>
    <x v="5"/>
    <x v="0"/>
    <s v="ANON-0000-0000-0153"/>
    <x v="10"/>
    <x v="7"/>
  </r>
  <r>
    <x v="107"/>
    <x v="0"/>
    <x v="3"/>
    <n v="45462.770821307873"/>
    <x v="5"/>
    <x v="0"/>
    <s v="ANON-0000-0000-0153"/>
    <x v="10"/>
    <x v="0"/>
  </r>
  <r>
    <x v="107"/>
    <x v="0"/>
    <x v="3"/>
    <n v="45462.813556631947"/>
    <x v="6"/>
    <x v="0"/>
    <s v="ANON-0000-0000-0009"/>
    <x v="8"/>
    <x v="3"/>
  </r>
  <r>
    <x v="107"/>
    <x v="0"/>
    <x v="3"/>
    <n v="45462.895132928243"/>
    <x v="15"/>
    <x v="0"/>
    <s v="ANON-0000-0000-0192"/>
    <x v="10"/>
    <x v="7"/>
  </r>
  <r>
    <x v="107"/>
    <x v="0"/>
    <x v="3"/>
    <n v="45462.895873657406"/>
    <x v="15"/>
    <x v="0"/>
    <s v="ANON-0000-0000-0192"/>
    <x v="8"/>
    <x v="3"/>
  </r>
  <r>
    <x v="108"/>
    <x v="0"/>
    <x v="3"/>
    <n v="45463.451463576392"/>
    <x v="0"/>
    <x v="0"/>
    <s v="ANON-0000-0000-0097"/>
    <x v="10"/>
    <x v="0"/>
  </r>
  <r>
    <x v="108"/>
    <x v="0"/>
    <x v="3"/>
    <n v="45463.790996319447"/>
    <x v="5"/>
    <x v="0"/>
    <s v="ANON-0000-0000-0314"/>
    <x v="10"/>
    <x v="0"/>
  </r>
  <r>
    <x v="108"/>
    <x v="0"/>
    <x v="3"/>
    <n v="45463.791669409722"/>
    <x v="6"/>
    <x v="0"/>
    <s v="ANON-0000-0000-0314"/>
    <x v="10"/>
    <x v="0"/>
  </r>
  <r>
    <x v="108"/>
    <x v="0"/>
    <x v="3"/>
    <n v="45463.90219922454"/>
    <x v="15"/>
    <x v="0"/>
    <s v="ANON-0000-0000-0257"/>
    <x v="10"/>
    <x v="0"/>
  </r>
  <r>
    <x v="108"/>
    <x v="0"/>
    <x v="3"/>
    <n v="45463.915052708333"/>
    <x v="15"/>
    <x v="0"/>
    <s v="ANON-0000-0000-0009"/>
    <x v="10"/>
    <x v="0"/>
  </r>
  <r>
    <x v="108"/>
    <x v="0"/>
    <x v="3"/>
    <n v="45463.916175902777"/>
    <x v="15"/>
    <x v="0"/>
    <s v="ANON-0000-0000-0009"/>
    <x v="8"/>
    <x v="3"/>
  </r>
  <r>
    <x v="109"/>
    <x v="0"/>
    <x v="3"/>
    <n v="45464.416619560187"/>
    <x v="10"/>
    <x v="0"/>
    <s v="ANON-0000-0000-0311"/>
    <x v="10"/>
    <x v="0"/>
  </r>
  <r>
    <x v="109"/>
    <x v="0"/>
    <x v="3"/>
    <n v="45464.417826192126"/>
    <x v="0"/>
    <x v="0"/>
    <s v="ANON-0000-0000-0315"/>
    <x v="11"/>
    <x v="2"/>
  </r>
  <r>
    <x v="109"/>
    <x v="0"/>
    <x v="3"/>
    <n v="45464.55508583333"/>
    <x v="2"/>
    <x v="0"/>
    <s v="ANON-0000-0000-0012"/>
    <x v="8"/>
    <x v="3"/>
  </r>
  <r>
    <x v="109"/>
    <x v="0"/>
    <x v="3"/>
    <n v="45464.555920289349"/>
    <x v="2"/>
    <x v="0"/>
    <s v="ANON-0000-0000-0012"/>
    <x v="8"/>
    <x v="3"/>
  </r>
  <r>
    <x v="109"/>
    <x v="0"/>
    <x v="3"/>
    <n v="45464.75851925926"/>
    <x v="5"/>
    <x v="0"/>
    <s v="ANON-0000-0000-0316"/>
    <x v="14"/>
    <x v="6"/>
  </r>
  <r>
    <x v="109"/>
    <x v="0"/>
    <x v="3"/>
    <n v="45464.812808460651"/>
    <x v="6"/>
    <x v="0"/>
    <s v="ANON-0000-0000-0009"/>
    <x v="10"/>
    <x v="0"/>
  </r>
  <r>
    <x v="109"/>
    <x v="0"/>
    <x v="3"/>
    <n v="45464.824377326389"/>
    <x v="6"/>
    <x v="0"/>
    <s v="ANON-0000-0000-0154"/>
    <x v="10"/>
    <x v="7"/>
  </r>
  <r>
    <x v="109"/>
    <x v="0"/>
    <x v="3"/>
    <n v="45464.825077696762"/>
    <x v="6"/>
    <x v="0"/>
    <s v="ANON-0000-0000-0154"/>
    <x v="10"/>
    <x v="7"/>
  </r>
  <r>
    <x v="109"/>
    <x v="0"/>
    <x v="3"/>
    <n v="45464.826325289352"/>
    <x v="6"/>
    <x v="0"/>
    <s v="ANON-0000-0000-0180"/>
    <x v="10"/>
    <x v="7"/>
  </r>
  <r>
    <x v="109"/>
    <x v="0"/>
    <x v="3"/>
    <n v="45464.827085775461"/>
    <x v="6"/>
    <x v="0"/>
    <s v="ANON-0000-0000-0180"/>
    <x v="10"/>
    <x v="7"/>
  </r>
  <r>
    <x v="109"/>
    <x v="0"/>
    <x v="3"/>
    <n v="45464.827995081017"/>
    <x v="6"/>
    <x v="0"/>
    <s v="ANON-0000-0000-0180"/>
    <x v="11"/>
    <x v="2"/>
  </r>
  <r>
    <x v="109"/>
    <x v="0"/>
    <x v="3"/>
    <n v="45464.830290995371"/>
    <x v="6"/>
    <x v="0"/>
    <s v="ANON-0000-0000-0311"/>
    <x v="8"/>
    <x v="3"/>
  </r>
  <r>
    <x v="110"/>
    <x v="0"/>
    <x v="3"/>
    <n v="45465.360998530094"/>
    <x v="13"/>
    <x v="0"/>
    <s v="ANON-0000-0000-0141"/>
    <x v="11"/>
    <x v="5"/>
  </r>
  <r>
    <x v="110"/>
    <x v="0"/>
    <x v="3"/>
    <n v="45465.401259016202"/>
    <x v="10"/>
    <x v="0"/>
    <s v="ANON-0000-0000-0311"/>
    <x v="8"/>
    <x v="3"/>
  </r>
  <r>
    <x v="110"/>
    <x v="0"/>
    <x v="3"/>
    <n v="45465.53698542824"/>
    <x v="1"/>
    <x v="0"/>
    <s v="ANON-0000-0000-0317"/>
    <x v="8"/>
    <x v="3"/>
  </r>
  <r>
    <x v="110"/>
    <x v="0"/>
    <x v="3"/>
    <n v="45465.650927511575"/>
    <x v="3"/>
    <x v="0"/>
    <s v="ANON-0000-0000-0009"/>
    <x v="10"/>
    <x v="0"/>
  </r>
  <r>
    <x v="110"/>
    <x v="0"/>
    <x v="3"/>
    <n v="45465.923877291665"/>
    <x v="14"/>
    <x v="0"/>
    <s v="ANON-0000-0000-0318"/>
    <x v="10"/>
    <x v="7"/>
  </r>
  <r>
    <x v="111"/>
    <x v="0"/>
    <x v="3"/>
    <n v="45466.758349606484"/>
    <x v="5"/>
    <x v="0"/>
    <s v="ANON-0000-0000-0012"/>
    <x v="8"/>
    <x v="3"/>
  </r>
  <r>
    <x v="111"/>
    <x v="0"/>
    <x v="3"/>
    <n v="45466.759613865739"/>
    <x v="5"/>
    <x v="0"/>
    <s v="ANON-0000-0000-0012"/>
    <x v="8"/>
    <x v="3"/>
  </r>
  <r>
    <x v="111"/>
    <x v="0"/>
    <x v="3"/>
    <n v="45466.879710138892"/>
    <x v="15"/>
    <x v="0"/>
    <s v="ANON-0000-0000-0319"/>
    <x v="10"/>
    <x v="7"/>
  </r>
  <r>
    <x v="111"/>
    <x v="0"/>
    <x v="3"/>
    <n v="45466.89522943287"/>
    <x v="15"/>
    <x v="0"/>
    <s v="ANON-0000-0000-0320"/>
    <x v="10"/>
    <x v="0"/>
  </r>
  <r>
    <x v="111"/>
    <x v="0"/>
    <x v="3"/>
    <n v="45466.896254340281"/>
    <x v="15"/>
    <x v="0"/>
    <s v="ANON-0000-0000-0320"/>
    <x v="10"/>
    <x v="7"/>
  </r>
  <r>
    <x v="112"/>
    <x v="0"/>
    <x v="3"/>
    <n v="45467.489351145836"/>
    <x v="7"/>
    <x v="0"/>
    <s v="ANON-0000-0000-0164"/>
    <x v="8"/>
    <x v="3"/>
  </r>
  <r>
    <x v="112"/>
    <x v="0"/>
    <x v="3"/>
    <n v="45467.492778287036"/>
    <x v="7"/>
    <x v="0"/>
    <s v="ANON-0000-0000-0180"/>
    <x v="10"/>
    <x v="7"/>
  </r>
  <r>
    <x v="112"/>
    <x v="0"/>
    <x v="3"/>
    <n v="45467.49356574074"/>
    <x v="7"/>
    <x v="0"/>
    <s v="ANON-0000-0000-0180"/>
    <x v="10"/>
    <x v="7"/>
  </r>
  <r>
    <x v="112"/>
    <x v="0"/>
    <x v="3"/>
    <n v="45467.626724479167"/>
    <x v="3"/>
    <x v="0"/>
    <s v="ANON-0000-0000-0321"/>
    <x v="10"/>
    <x v="0"/>
  </r>
  <r>
    <x v="112"/>
    <x v="0"/>
    <x v="3"/>
    <n v="45467.698617743059"/>
    <x v="4"/>
    <x v="0"/>
    <s v="ANON-0000-0000-0203"/>
    <x v="10"/>
    <x v="7"/>
  </r>
  <r>
    <x v="112"/>
    <x v="0"/>
    <x v="3"/>
    <n v="45467.699310289354"/>
    <x v="4"/>
    <x v="0"/>
    <s v="ANON-0000-0000-0203"/>
    <x v="10"/>
    <x v="7"/>
  </r>
  <r>
    <x v="113"/>
    <x v="0"/>
    <x v="3"/>
    <n v="45468.346808379632"/>
    <x v="13"/>
    <x v="0"/>
    <s v="ANON-0000-0000-0322"/>
    <x v="10"/>
    <x v="0"/>
  </r>
  <r>
    <x v="113"/>
    <x v="0"/>
    <x v="3"/>
    <n v="45468.436416759258"/>
    <x v="0"/>
    <x v="0"/>
    <s v="ANON-0000-0000-0012"/>
    <x v="8"/>
    <x v="3"/>
  </r>
  <r>
    <x v="113"/>
    <x v="0"/>
    <x v="3"/>
    <n v="45468.437296412034"/>
    <x v="0"/>
    <x v="0"/>
    <s v="ANON-0000-0000-0040"/>
    <x v="8"/>
    <x v="3"/>
  </r>
  <r>
    <x v="113"/>
    <x v="0"/>
    <x v="3"/>
    <n v="45468.482549722219"/>
    <x v="7"/>
    <x v="0"/>
    <s v="ANON-0000-0000-0203"/>
    <x v="10"/>
    <x v="7"/>
  </r>
  <r>
    <x v="114"/>
    <x v="0"/>
    <x v="3"/>
    <n v="45469.397936412039"/>
    <x v="10"/>
    <x v="0"/>
    <s v="ANON-0000-0000-0323"/>
    <x v="10"/>
    <x v="0"/>
  </r>
  <r>
    <x v="114"/>
    <x v="0"/>
    <x v="3"/>
    <n v="45469.689229780095"/>
    <x v="4"/>
    <x v="0"/>
    <s v="ANON-0000-0000-0324"/>
    <x v="14"/>
    <x v="6"/>
  </r>
  <r>
    <x v="114"/>
    <x v="0"/>
    <x v="3"/>
    <n v="45469.690296377317"/>
    <x v="4"/>
    <x v="0"/>
    <s v="ANON-0000-0000-0325"/>
    <x v="11"/>
    <x v="2"/>
  </r>
  <r>
    <x v="114"/>
    <x v="0"/>
    <x v="3"/>
    <n v="45469.890200185182"/>
    <x v="15"/>
    <x v="0"/>
    <s v="ANON-0000-0000-0009"/>
    <x v="10"/>
    <x v="0"/>
  </r>
  <r>
    <x v="114"/>
    <x v="0"/>
    <x v="3"/>
    <n v="45469.893759340281"/>
    <x v="15"/>
    <x v="0"/>
    <s v="ANON-0000-0000-0009"/>
    <x v="10"/>
    <x v="7"/>
  </r>
  <r>
    <x v="114"/>
    <x v="0"/>
    <x v="3"/>
    <n v="45469.894613032404"/>
    <x v="15"/>
    <x v="0"/>
    <s v="ANON-0000-0000-0206"/>
    <x v="8"/>
    <x v="3"/>
  </r>
  <r>
    <x v="115"/>
    <x v="0"/>
    <x v="3"/>
    <n v="45470.385916354164"/>
    <x v="10"/>
    <x v="0"/>
    <s v="ANON-0000-0000-0326"/>
    <x v="8"/>
    <x v="3"/>
  </r>
  <r>
    <x v="115"/>
    <x v="0"/>
    <x v="3"/>
    <n v="45470.674861111111"/>
    <x v="4"/>
    <x v="0"/>
    <s v="ANON-0000-0000-0327"/>
    <x v="11"/>
    <x v="5"/>
  </r>
  <r>
    <x v="115"/>
    <x v="0"/>
    <x v="3"/>
    <n v="45470.905594583332"/>
    <x v="15"/>
    <x v="0"/>
    <s v="ANON-0000-0000-0328"/>
    <x v="8"/>
    <x v="3"/>
  </r>
  <r>
    <x v="115"/>
    <x v="0"/>
    <x v="3"/>
    <n v="45470.910088159719"/>
    <x v="15"/>
    <x v="0"/>
    <s v="ANON-0000-0000-0329"/>
    <x v="10"/>
    <x v="7"/>
  </r>
  <r>
    <x v="116"/>
    <x v="0"/>
    <x v="3"/>
    <n v="45471.339294490739"/>
    <x v="13"/>
    <x v="0"/>
    <s v="ANON-0000-0000-0141"/>
    <x v="11"/>
    <x v="5"/>
  </r>
  <r>
    <x v="116"/>
    <x v="0"/>
    <x v="3"/>
    <n v="45471.744374918984"/>
    <x v="9"/>
    <x v="0"/>
    <s v="ANON-0000-0000-0274"/>
    <x v="14"/>
    <x v="6"/>
  </r>
  <r>
    <x v="116"/>
    <x v="0"/>
    <x v="3"/>
    <n v="45471.910363136572"/>
    <x v="15"/>
    <x v="0"/>
    <s v="ANON-0000-0000-0330"/>
    <x v="8"/>
    <x v="3"/>
  </r>
  <r>
    <x v="116"/>
    <x v="0"/>
    <x v="3"/>
    <n v="45471.911132719906"/>
    <x v="15"/>
    <x v="0"/>
    <s v="ANON-0000-0000-0331"/>
    <x v="10"/>
    <x v="0"/>
  </r>
  <r>
    <x v="116"/>
    <x v="0"/>
    <x v="3"/>
    <n v="45471.936342314817"/>
    <x v="14"/>
    <x v="0"/>
    <s v="ANON-0000-0000-0332"/>
    <x v="10"/>
    <x v="7"/>
  </r>
  <r>
    <x v="117"/>
    <x v="0"/>
    <x v="3"/>
    <n v="45472.407758148147"/>
    <x v="10"/>
    <x v="0"/>
    <s v="ANON-0000-0000-0097"/>
    <x v="8"/>
    <x v="3"/>
  </r>
  <r>
    <x v="117"/>
    <x v="0"/>
    <x v="3"/>
    <n v="45472.486337754628"/>
    <x v="7"/>
    <x v="0"/>
    <s v="ANON-0000-0000-0333"/>
    <x v="8"/>
    <x v="3"/>
  </r>
  <r>
    <x v="117"/>
    <x v="0"/>
    <x v="3"/>
    <n v="45472.487113530093"/>
    <x v="7"/>
    <x v="0"/>
    <s v="ANON-0000-0000-0333"/>
    <x v="8"/>
    <x v="3"/>
  </r>
  <r>
    <x v="117"/>
    <x v="0"/>
    <x v="3"/>
    <n v="45472.521115254633"/>
    <x v="1"/>
    <x v="0"/>
    <s v="ANON-0000-0000-0334"/>
    <x v="10"/>
    <x v="7"/>
  </r>
  <r>
    <x v="117"/>
    <x v="0"/>
    <x v="3"/>
    <n v="45472.522020625001"/>
    <x v="1"/>
    <x v="0"/>
    <s v="ANON-0000-0000-0334"/>
    <x v="10"/>
    <x v="7"/>
  </r>
  <r>
    <x v="117"/>
    <x v="0"/>
    <x v="3"/>
    <n v="45472.724809988424"/>
    <x v="9"/>
    <x v="0"/>
    <s v="ANON-0000-0000-0335"/>
    <x v="10"/>
    <x v="7"/>
  </r>
  <r>
    <x v="117"/>
    <x v="0"/>
    <x v="3"/>
    <n v="45472.725606215281"/>
    <x v="9"/>
    <x v="0"/>
    <s v="ANON-0000-0000-0335"/>
    <x v="10"/>
    <x v="1"/>
  </r>
  <r>
    <x v="117"/>
    <x v="0"/>
    <x v="3"/>
    <n v="45472.894009826392"/>
    <x v="15"/>
    <x v="0"/>
    <s v="ANON-0000-0000-0009"/>
    <x v="10"/>
    <x v="0"/>
  </r>
  <r>
    <x v="118"/>
    <x v="0"/>
    <x v="3"/>
    <n v="45473.43622502315"/>
    <x v="0"/>
    <x v="0"/>
    <s v="ANON-0000-0000-0336"/>
    <x v="10"/>
    <x v="0"/>
  </r>
  <r>
    <x v="118"/>
    <x v="0"/>
    <x v="3"/>
    <n v="45473.545724768519"/>
    <x v="2"/>
    <x v="0"/>
    <s v="ANON-0000-0000-0337"/>
    <x v="14"/>
    <x v="6"/>
  </r>
  <r>
    <x v="118"/>
    <x v="0"/>
    <x v="3"/>
    <n v="45473.7046490625"/>
    <x v="4"/>
    <x v="0"/>
    <s v="ANON-0000-0000-0009"/>
    <x v="10"/>
    <x v="1"/>
  </r>
  <r>
    <x v="118"/>
    <x v="0"/>
    <x v="3"/>
    <n v="45473.877890578704"/>
    <x v="15"/>
    <x v="0"/>
    <s v="ANON-0000-0000-0097"/>
    <x v="8"/>
    <x v="3"/>
  </r>
  <r>
    <x v="119"/>
    <x v="0"/>
    <x v="4"/>
    <n v="45474.755170833334"/>
    <x v="5"/>
    <x v="0"/>
    <s v="ANON-0000-0000-0012"/>
    <x v="14"/>
    <x v="6"/>
  </r>
  <r>
    <x v="119"/>
    <x v="0"/>
    <x v="4"/>
    <n v="45474.789488935188"/>
    <x v="5"/>
    <x v="0"/>
    <s v="ANON-0000-0000-0338"/>
    <x v="10"/>
    <x v="7"/>
  </r>
  <r>
    <x v="119"/>
    <x v="0"/>
    <x v="4"/>
    <n v="45474.790211423613"/>
    <x v="5"/>
    <x v="0"/>
    <s v="ANON-0000-0000-0339"/>
    <x v="10"/>
    <x v="7"/>
  </r>
  <r>
    <x v="120"/>
    <x v="0"/>
    <x v="4"/>
    <n v="45475.446458993058"/>
    <x v="0"/>
    <x v="0"/>
    <s v="ANON-0000-0000-0304"/>
    <x v="8"/>
    <x v="3"/>
  </r>
  <r>
    <x v="120"/>
    <x v="0"/>
    <x v="4"/>
    <n v="45475.447923807871"/>
    <x v="0"/>
    <x v="0"/>
    <s v="ANON-0000-0000-0304"/>
    <x v="11"/>
    <x v="2"/>
  </r>
  <r>
    <x v="120"/>
    <x v="0"/>
    <x v="4"/>
    <n v="45475.53339329861"/>
    <x v="1"/>
    <x v="0"/>
    <s v="ANON-0000-0000-0019"/>
    <x v="10"/>
    <x v="0"/>
  </r>
  <r>
    <x v="120"/>
    <x v="0"/>
    <x v="4"/>
    <n v="45475.585569803239"/>
    <x v="8"/>
    <x v="0"/>
    <s v="ANON-0000-0000-0340"/>
    <x v="11"/>
    <x v="2"/>
  </r>
  <r>
    <x v="120"/>
    <x v="0"/>
    <x v="4"/>
    <n v="45475.688476122683"/>
    <x v="4"/>
    <x v="0"/>
    <s v="ANON-0000-0000-0341"/>
    <x v="8"/>
    <x v="3"/>
  </r>
  <r>
    <x v="120"/>
    <x v="0"/>
    <x v="4"/>
    <n v="45475.918328425927"/>
    <x v="14"/>
    <x v="0"/>
    <s v="ANON-0000-0000-0329"/>
    <x v="8"/>
    <x v="3"/>
  </r>
  <r>
    <x v="121"/>
    <x v="0"/>
    <x v="4"/>
    <n v="45476.577256192133"/>
    <x v="2"/>
    <x v="0"/>
    <s v="ANON-0000-0000-0012"/>
    <x v="8"/>
    <x v="3"/>
  </r>
  <r>
    <x v="121"/>
    <x v="0"/>
    <x v="4"/>
    <n v="45476.667552708335"/>
    <x v="4"/>
    <x v="0"/>
    <s v="ANON-0000-0000-0342"/>
    <x v="10"/>
    <x v="7"/>
  </r>
  <r>
    <x v="121"/>
    <x v="0"/>
    <x v="4"/>
    <n v="45476.70168082176"/>
    <x v="4"/>
    <x v="0"/>
    <s v="ANON-0000-0000-0343"/>
    <x v="10"/>
    <x v="7"/>
  </r>
  <r>
    <x v="121"/>
    <x v="0"/>
    <x v="4"/>
    <n v="45476.703652986114"/>
    <x v="4"/>
    <x v="0"/>
    <s v="ANON-0000-0000-0270"/>
    <x v="8"/>
    <x v="3"/>
  </r>
  <r>
    <x v="121"/>
    <x v="0"/>
    <x v="4"/>
    <n v="45476.70443179398"/>
    <x v="4"/>
    <x v="0"/>
    <s v="ANON-0000-0000-0344"/>
    <x v="8"/>
    <x v="3"/>
  </r>
  <r>
    <x v="121"/>
    <x v="0"/>
    <x v="4"/>
    <n v="45476.705224803241"/>
    <x v="4"/>
    <x v="0"/>
    <s v="ANON-0000-0000-0270"/>
    <x v="10"/>
    <x v="0"/>
  </r>
  <r>
    <x v="121"/>
    <x v="0"/>
    <x v="4"/>
    <n v="45476.707934953702"/>
    <x v="4"/>
    <x v="0"/>
    <s v="ANON-0000-0000-0345"/>
    <x v="14"/>
    <x v="6"/>
  </r>
  <r>
    <x v="121"/>
    <x v="0"/>
    <x v="4"/>
    <n v="45476.749326701392"/>
    <x v="9"/>
    <x v="0"/>
    <s v="ANON-0000-0000-0346"/>
    <x v="10"/>
    <x v="7"/>
  </r>
  <r>
    <x v="121"/>
    <x v="0"/>
    <x v="4"/>
    <n v="45476.795939074073"/>
    <x v="6"/>
    <x v="0"/>
    <s v="ANON-0000-0000-0009"/>
    <x v="10"/>
    <x v="0"/>
  </r>
  <r>
    <x v="122"/>
    <x v="0"/>
    <x v="4"/>
    <n v="45477.43499681713"/>
    <x v="0"/>
    <x v="0"/>
    <s v="ANON-0000-0000-0143"/>
    <x v="8"/>
    <x v="3"/>
  </r>
  <r>
    <x v="122"/>
    <x v="0"/>
    <x v="4"/>
    <n v="45477.435766909723"/>
    <x v="0"/>
    <x v="0"/>
    <s v="ANON-0000-0000-0012"/>
    <x v="11"/>
    <x v="2"/>
  </r>
  <r>
    <x v="123"/>
    <x v="0"/>
    <x v="4"/>
    <n v="45478.514220717596"/>
    <x v="1"/>
    <x v="0"/>
    <s v="ANON-0000-0000-0058"/>
    <x v="10"/>
    <x v="4"/>
  </r>
  <r>
    <x v="123"/>
    <x v="0"/>
    <x v="4"/>
    <n v="45478.572027013892"/>
    <x v="2"/>
    <x v="0"/>
    <s v="ANON-0000-0000-0040"/>
    <x v="8"/>
    <x v="3"/>
  </r>
  <r>
    <x v="123"/>
    <x v="0"/>
    <x v="4"/>
    <n v="45478.572729502317"/>
    <x v="2"/>
    <x v="0"/>
    <s v="ANON-0000-0000-0347"/>
    <x v="8"/>
    <x v="3"/>
  </r>
  <r>
    <x v="123"/>
    <x v="0"/>
    <x v="4"/>
    <n v="45478.788846157404"/>
    <x v="5"/>
    <x v="0"/>
    <s v="ANON-0000-0000-0348"/>
    <x v="14"/>
    <x v="6"/>
  </r>
  <r>
    <x v="123"/>
    <x v="0"/>
    <x v="4"/>
    <n v="45478.829951527776"/>
    <x v="6"/>
    <x v="0"/>
    <s v="ANON-0000-0000-0099"/>
    <x v="11"/>
    <x v="2"/>
  </r>
  <r>
    <x v="123"/>
    <x v="0"/>
    <x v="4"/>
    <n v="45478.924959155091"/>
    <x v="14"/>
    <x v="0"/>
    <s v="ANON-0000-0000-0349"/>
    <x v="14"/>
    <x v="6"/>
  </r>
  <r>
    <x v="123"/>
    <x v="0"/>
    <x v="4"/>
    <n v="45478.929205138891"/>
    <x v="14"/>
    <x v="0"/>
    <s v="ANON-0000-0000-0350"/>
    <x v="11"/>
    <x v="2"/>
  </r>
  <r>
    <x v="123"/>
    <x v="0"/>
    <x v="4"/>
    <n v="45478.929825752311"/>
    <x v="14"/>
    <x v="0"/>
    <s v="ANON-0000-0000-0350"/>
    <x v="11"/>
    <x v="2"/>
  </r>
  <r>
    <x v="123"/>
    <x v="0"/>
    <x v="4"/>
    <n v="45478.930568854164"/>
    <x v="14"/>
    <x v="0"/>
    <s v="ANON-0000-0000-0351"/>
    <x v="10"/>
    <x v="7"/>
  </r>
  <r>
    <x v="123"/>
    <x v="0"/>
    <x v="4"/>
    <n v="45478.931359456015"/>
    <x v="14"/>
    <x v="0"/>
    <s v="ANON-0000-0000-0351"/>
    <x v="8"/>
    <x v="3"/>
  </r>
  <r>
    <x v="124"/>
    <x v="0"/>
    <x v="4"/>
    <n v="45479.436190115739"/>
    <x v="0"/>
    <x v="0"/>
    <s v="ANON-0000-0000-0352"/>
    <x v="10"/>
    <x v="0"/>
  </r>
  <r>
    <x v="124"/>
    <x v="0"/>
    <x v="4"/>
    <n v="45479.719282893515"/>
    <x v="9"/>
    <x v="0"/>
    <s v="ANON-0000-0000-0009"/>
    <x v="8"/>
    <x v="0"/>
  </r>
  <r>
    <x v="124"/>
    <x v="0"/>
    <x v="4"/>
    <n v="45479.720150995374"/>
    <x v="9"/>
    <x v="0"/>
    <s v="ANON-0000-0000-0009"/>
    <x v="8"/>
    <x v="0"/>
  </r>
  <r>
    <x v="124"/>
    <x v="0"/>
    <x v="4"/>
    <n v="45479.798450312497"/>
    <x v="6"/>
    <x v="0"/>
    <s v="ANON-0000-0000-0012"/>
    <x v="8"/>
    <x v="0"/>
  </r>
  <r>
    <x v="124"/>
    <x v="0"/>
    <x v="4"/>
    <n v="45479.799069212961"/>
    <x v="6"/>
    <x v="0"/>
    <s v="ANON-0000-0000-0012"/>
    <x v="11"/>
    <x v="3"/>
  </r>
  <r>
    <x v="125"/>
    <x v="0"/>
    <x v="4"/>
    <n v="45480.378011215274"/>
    <x v="10"/>
    <x v="0"/>
    <s v="ANON-0000-0000-0303"/>
    <x v="8"/>
    <x v="7"/>
  </r>
  <r>
    <x v="125"/>
    <x v="0"/>
    <x v="4"/>
    <n v="45480.385060474538"/>
    <x v="10"/>
    <x v="0"/>
    <s v="ANON-0000-0000-0353"/>
    <x v="11"/>
    <x v="3"/>
  </r>
  <r>
    <x v="125"/>
    <x v="0"/>
    <x v="4"/>
    <n v="45480.385842766205"/>
    <x v="10"/>
    <x v="0"/>
    <s v="ANON-0000-0000-0353"/>
    <x v="11"/>
    <x v="3"/>
  </r>
  <r>
    <x v="125"/>
    <x v="0"/>
    <x v="4"/>
    <n v="45480.395010138891"/>
    <x v="10"/>
    <x v="0"/>
    <s v="ANON-0000-0000-0354"/>
    <x v="8"/>
    <x v="7"/>
  </r>
  <r>
    <x v="125"/>
    <x v="0"/>
    <x v="4"/>
    <n v="45480.395789224538"/>
    <x v="10"/>
    <x v="0"/>
    <s v="ANON-0000-0000-0354"/>
    <x v="8"/>
    <x v="7"/>
  </r>
  <r>
    <x v="125"/>
    <x v="0"/>
    <x v="4"/>
    <n v="45480.622571678243"/>
    <x v="8"/>
    <x v="0"/>
    <s v="ANON-0000-0000-0355"/>
    <x v="8"/>
    <x v="1"/>
  </r>
  <r>
    <x v="125"/>
    <x v="0"/>
    <x v="4"/>
    <n v="45480.623465405093"/>
    <x v="8"/>
    <x v="0"/>
    <s v="ANON-0000-0000-0355"/>
    <x v="8"/>
    <x v="4"/>
  </r>
  <r>
    <x v="125"/>
    <x v="0"/>
    <x v="4"/>
    <n v="45480.713776435186"/>
    <x v="9"/>
    <x v="0"/>
    <s v="ANON-0000-0000-0356"/>
    <x v="8"/>
    <x v="0"/>
  </r>
  <r>
    <x v="125"/>
    <x v="0"/>
    <x v="4"/>
    <n v="45480.814897997683"/>
    <x v="6"/>
    <x v="0"/>
    <s v="ANON-0000-0000-0357"/>
    <x v="8"/>
    <x v="7"/>
  </r>
  <r>
    <x v="125"/>
    <x v="0"/>
    <x v="4"/>
    <n v="45480.834394131947"/>
    <x v="12"/>
    <x v="0"/>
    <s v="ANON-0000-0000-0358"/>
    <x v="8"/>
    <x v="1"/>
  </r>
  <r>
    <x v="125"/>
    <x v="0"/>
    <x v="4"/>
    <n v="45480.940002951385"/>
    <x v="14"/>
    <x v="0"/>
    <s v="ANON-0000-0000-0359"/>
    <x v="11"/>
    <x v="3"/>
  </r>
  <r>
    <x v="126"/>
    <x v="0"/>
    <x v="4"/>
    <n v="45481.314672731482"/>
    <x v="11"/>
    <x v="0"/>
    <s v="ANON-0000-0000-0360"/>
    <x v="8"/>
    <x v="0"/>
  </r>
  <r>
    <x v="126"/>
    <x v="0"/>
    <x v="4"/>
    <n v="45481.501972465281"/>
    <x v="1"/>
    <x v="0"/>
    <s v="ANON-0000-0000-0361"/>
    <x v="14"/>
    <x v="2"/>
  </r>
  <r>
    <x v="126"/>
    <x v="0"/>
    <x v="4"/>
    <n v="45481.611392939813"/>
    <x v="8"/>
    <x v="0"/>
    <s v="ANON-0000-0000-0362"/>
    <x v="14"/>
    <x v="2"/>
  </r>
  <r>
    <x v="126"/>
    <x v="0"/>
    <x v="4"/>
    <n v="45481.812904814811"/>
    <x v="6"/>
    <x v="0"/>
    <s v="ANON-0000-0000-0363"/>
    <x v="11"/>
    <x v="3"/>
  </r>
  <r>
    <x v="126"/>
    <x v="0"/>
    <x v="4"/>
    <n v="45481.926923379629"/>
    <x v="14"/>
    <x v="0"/>
    <s v="ANON-0000-0000-0019"/>
    <x v="8"/>
    <x v="0"/>
  </r>
  <r>
    <x v="127"/>
    <x v="0"/>
    <x v="4"/>
    <n v="45482.435325671293"/>
    <x v="0"/>
    <x v="0"/>
    <s v="ANON-0000-0000-0333"/>
    <x v="11"/>
    <x v="3"/>
  </r>
  <r>
    <x v="127"/>
    <x v="0"/>
    <x v="4"/>
    <n v="45482.444777395831"/>
    <x v="0"/>
    <x v="0"/>
    <s v="ANON-0000-0000-0276"/>
    <x v="11"/>
    <x v="3"/>
  </r>
  <r>
    <x v="127"/>
    <x v="0"/>
    <x v="4"/>
    <n v="45482.473334525464"/>
    <x v="7"/>
    <x v="0"/>
    <s v="ANON-0000-0000-0194"/>
    <x v="11"/>
    <x v="3"/>
  </r>
  <r>
    <x v="127"/>
    <x v="0"/>
    <x v="4"/>
    <n v="45482.474188703702"/>
    <x v="7"/>
    <x v="0"/>
    <s v="ANON-0000-0000-0194"/>
    <x v="8"/>
    <x v="7"/>
  </r>
  <r>
    <x v="127"/>
    <x v="0"/>
    <x v="4"/>
    <n v="45482.696522395832"/>
    <x v="4"/>
    <x v="0"/>
    <s v="ANON-0000-0000-0364"/>
    <x v="11"/>
    <x v="3"/>
  </r>
  <r>
    <x v="128"/>
    <x v="0"/>
    <x v="4"/>
    <n v="45483.465760300925"/>
    <x v="7"/>
    <x v="0"/>
    <s v="ANON-0000-0000-0365"/>
    <x v="14"/>
    <x v="2"/>
  </r>
  <r>
    <x v="128"/>
    <x v="0"/>
    <x v="4"/>
    <n v="45483.520065497687"/>
    <x v="1"/>
    <x v="0"/>
    <s v="ANON-0000-0000-0366"/>
    <x v="11"/>
    <x v="3"/>
  </r>
  <r>
    <x v="128"/>
    <x v="0"/>
    <x v="4"/>
    <n v="45483.925810752313"/>
    <x v="14"/>
    <x v="0"/>
    <s v="ANON-0000-0000-0328"/>
    <x v="8"/>
    <x v="0"/>
  </r>
  <r>
    <x v="129"/>
    <x v="0"/>
    <x v="4"/>
    <n v="45484.477402337965"/>
    <x v="7"/>
    <x v="0"/>
    <s v="ANON-0000-0000-0367"/>
    <x v="8"/>
    <x v="1"/>
  </r>
  <r>
    <x v="129"/>
    <x v="0"/>
    <x v="4"/>
    <n v="45484.70021653935"/>
    <x v="4"/>
    <x v="0"/>
    <s v="ANON-0000-0000-0368"/>
    <x v="11"/>
    <x v="3"/>
  </r>
  <r>
    <x v="129"/>
    <x v="0"/>
    <x v="4"/>
    <n v="45484.932102407409"/>
    <x v="14"/>
    <x v="0"/>
    <s v="ANON-0000-0000-0369"/>
    <x v="8"/>
    <x v="0"/>
  </r>
  <r>
    <x v="129"/>
    <x v="0"/>
    <x v="4"/>
    <n v="45484.938177557873"/>
    <x v="14"/>
    <x v="0"/>
    <s v="ANON-0000-0000-0370"/>
    <x v="14"/>
    <x v="2"/>
  </r>
  <r>
    <x v="130"/>
    <x v="0"/>
    <x v="4"/>
    <n v="45485.335619120371"/>
    <x v="13"/>
    <x v="0"/>
    <s v="ANON-0000-0000-0371"/>
    <x v="14"/>
    <x v="5"/>
  </r>
  <r>
    <x v="130"/>
    <x v="0"/>
    <x v="4"/>
    <n v="45485.492053020833"/>
    <x v="7"/>
    <x v="0"/>
    <s v="ANON-0000-0000-0372"/>
    <x v="8"/>
    <x v="1"/>
  </r>
  <r>
    <x v="130"/>
    <x v="0"/>
    <x v="4"/>
    <n v="45485.939879502315"/>
    <x v="14"/>
    <x v="0"/>
    <s v="ANON-0000-0000-0178"/>
    <x v="8"/>
    <x v="1"/>
  </r>
  <r>
    <x v="130"/>
    <x v="0"/>
    <x v="4"/>
    <n v="45485.940443368054"/>
    <x v="14"/>
    <x v="0"/>
    <s v="ANON-0000-0000-0177"/>
    <x v="8"/>
    <x v="1"/>
  </r>
  <r>
    <x v="130"/>
    <x v="0"/>
    <x v="4"/>
    <n v="45485.94131386574"/>
    <x v="14"/>
    <x v="0"/>
    <s v="ANON-0000-0000-0179"/>
    <x v="8"/>
    <x v="1"/>
  </r>
  <r>
    <x v="131"/>
    <x v="0"/>
    <x v="4"/>
    <n v="45486.443174456021"/>
    <x v="0"/>
    <x v="0"/>
    <s v="ANON-0000-0000-0365"/>
    <x v="8"/>
    <x v="0"/>
  </r>
  <r>
    <x v="131"/>
    <x v="0"/>
    <x v="4"/>
    <n v="45486.487246400466"/>
    <x v="7"/>
    <x v="0"/>
    <s v="ANON-0000-0000-0365"/>
    <x v="8"/>
    <x v="0"/>
  </r>
  <r>
    <x v="132"/>
    <x v="0"/>
    <x v="4"/>
    <n v="45487.454447997683"/>
    <x v="0"/>
    <x v="0"/>
    <s v="ANON-0000-0000-0373"/>
    <x v="14"/>
    <x v="2"/>
  </r>
  <r>
    <x v="132"/>
    <x v="0"/>
    <x v="4"/>
    <n v="45487.455214409725"/>
    <x v="0"/>
    <x v="0"/>
    <s v="ANON-0000-0000-0373"/>
    <x v="11"/>
    <x v="3"/>
  </r>
  <r>
    <x v="132"/>
    <x v="0"/>
    <x v="4"/>
    <n v="45487.455905682873"/>
    <x v="0"/>
    <x v="0"/>
    <s v="ANON-0000-0000-0373"/>
    <x v="8"/>
    <x v="7"/>
  </r>
  <r>
    <x v="132"/>
    <x v="0"/>
    <x v="4"/>
    <n v="45487.456875717595"/>
    <x v="0"/>
    <x v="0"/>
    <s v="ANON-0000-0000-0374"/>
    <x v="8"/>
    <x v="0"/>
  </r>
  <r>
    <x v="132"/>
    <x v="0"/>
    <x v="4"/>
    <n v="45487.459858773145"/>
    <x v="7"/>
    <x v="0"/>
    <s v="ANON-0000-0000-0375"/>
    <x v="14"/>
    <x v="2"/>
  </r>
  <r>
    <x v="132"/>
    <x v="0"/>
    <x v="4"/>
    <n v="45487.938541388889"/>
    <x v="14"/>
    <x v="0"/>
    <s v="ANON-0000-0000-0376"/>
    <x v="8"/>
    <x v="0"/>
  </r>
  <r>
    <x v="133"/>
    <x v="0"/>
    <x v="4"/>
    <n v="45488.314647650463"/>
    <x v="11"/>
    <x v="0"/>
    <s v="ANON-0000-0000-0377"/>
    <x v="8"/>
    <x v="7"/>
  </r>
  <r>
    <x v="134"/>
    <x v="0"/>
    <x v="4"/>
    <n v="45489.516405868053"/>
    <x v="1"/>
    <x v="0"/>
    <s v="ANON-0000-0000-0378"/>
    <x v="11"/>
    <x v="3"/>
  </r>
  <r>
    <x v="134"/>
    <x v="0"/>
    <x v="4"/>
    <n v="45489.81210052083"/>
    <x v="6"/>
    <x v="0"/>
    <s v="ANON-0000-0000-0367"/>
    <x v="8"/>
    <x v="1"/>
  </r>
  <r>
    <x v="135"/>
    <x v="0"/>
    <x v="4"/>
    <n v="45490.545135925924"/>
    <x v="2"/>
    <x v="0"/>
    <s v="ANON-0000-0000-0379"/>
    <x v="11"/>
    <x v="3"/>
  </r>
  <r>
    <x v="136"/>
    <x v="0"/>
    <x v="4"/>
    <n v="45491.465432789351"/>
    <x v="7"/>
    <x v="0"/>
    <s v="ANON-0000-0000-0380"/>
    <x v="11"/>
    <x v="3"/>
  </r>
  <r>
    <x v="136"/>
    <x v="0"/>
    <x v="4"/>
    <n v="45491.466243449075"/>
    <x v="7"/>
    <x v="0"/>
    <s v="ANON-0000-0000-0381"/>
    <x v="15"/>
    <x v="6"/>
  </r>
  <r>
    <x v="136"/>
    <x v="0"/>
    <x v="4"/>
    <n v="45491.481245648145"/>
    <x v="7"/>
    <x v="0"/>
    <s v="ANON-0000-0000-0059"/>
    <x v="14"/>
    <x v="2"/>
  </r>
  <r>
    <x v="136"/>
    <x v="0"/>
    <x v="4"/>
    <n v="45491.482505057873"/>
    <x v="7"/>
    <x v="0"/>
    <s v="ANON-0000-0000-0059"/>
    <x v="14"/>
    <x v="2"/>
  </r>
  <r>
    <x v="136"/>
    <x v="0"/>
    <x v="4"/>
    <n v="45491.483235011576"/>
    <x v="7"/>
    <x v="0"/>
    <s v="ANON-0000-0000-0059"/>
    <x v="14"/>
    <x v="5"/>
  </r>
  <r>
    <x v="136"/>
    <x v="0"/>
    <x v="4"/>
    <n v="45491.558030231485"/>
    <x v="2"/>
    <x v="0"/>
    <s v="ANON-0000-0000-0375"/>
    <x v="8"/>
    <x v="0"/>
  </r>
  <r>
    <x v="136"/>
    <x v="0"/>
    <x v="4"/>
    <n v="45491.762770578702"/>
    <x v="5"/>
    <x v="0"/>
    <s v="ANON-0000-0000-0382"/>
    <x v="8"/>
    <x v="7"/>
  </r>
  <r>
    <x v="136"/>
    <x v="0"/>
    <x v="4"/>
    <n v="45491.813085208334"/>
    <x v="6"/>
    <x v="0"/>
    <s v="ANON-0000-0000-0009"/>
    <x v="8"/>
    <x v="0"/>
  </r>
  <r>
    <x v="136"/>
    <x v="0"/>
    <x v="4"/>
    <n v="45491.888678402778"/>
    <x v="15"/>
    <x v="0"/>
    <s v="ANON-0000-0000-0383"/>
    <x v="8"/>
    <x v="1"/>
  </r>
  <r>
    <x v="136"/>
    <x v="0"/>
    <x v="4"/>
    <n v="45491.890276099541"/>
    <x v="15"/>
    <x v="0"/>
    <s v="ANON-0000-0000-0383"/>
    <x v="8"/>
    <x v="0"/>
  </r>
  <r>
    <x v="136"/>
    <x v="0"/>
    <x v="4"/>
    <n v="45491.907160578703"/>
    <x v="15"/>
    <x v="0"/>
    <s v="ANON-0000-0000-0384"/>
    <x v="8"/>
    <x v="0"/>
  </r>
  <r>
    <x v="137"/>
    <x v="0"/>
    <x v="4"/>
    <n v="45492.460443761571"/>
    <x v="7"/>
    <x v="0"/>
    <s v="ANON-0000-0000-0375"/>
    <x v="14"/>
    <x v="2"/>
  </r>
  <r>
    <x v="137"/>
    <x v="0"/>
    <x v="4"/>
    <n v="45492.469681817129"/>
    <x v="7"/>
    <x v="0"/>
    <s v="ANON-0000-0000-0385"/>
    <x v="11"/>
    <x v="3"/>
  </r>
  <r>
    <x v="137"/>
    <x v="0"/>
    <x v="4"/>
    <n v="45492.540712511574"/>
    <x v="1"/>
    <x v="0"/>
    <s v="ANON-0000-0000-0386"/>
    <x v="8"/>
    <x v="0"/>
  </r>
  <r>
    <x v="137"/>
    <x v="0"/>
    <x v="4"/>
    <n v="45492.541613229165"/>
    <x v="1"/>
    <x v="0"/>
    <s v="ANON-0000-0000-0386"/>
    <x v="11"/>
    <x v="3"/>
  </r>
  <r>
    <x v="137"/>
    <x v="0"/>
    <x v="4"/>
    <n v="45492.589823101851"/>
    <x v="8"/>
    <x v="0"/>
    <s v="ANON-0000-0000-0384"/>
    <x v="8"/>
    <x v="0"/>
  </r>
  <r>
    <x v="137"/>
    <x v="0"/>
    <x v="4"/>
    <n v="45492.591228067133"/>
    <x v="8"/>
    <x v="0"/>
    <s v="ANON-0000-0000-0384"/>
    <x v="8"/>
    <x v="4"/>
  </r>
  <r>
    <x v="137"/>
    <x v="0"/>
    <x v="4"/>
    <n v="45492.69188972222"/>
    <x v="4"/>
    <x v="0"/>
    <s v="ANON-0000-0000-0384"/>
    <x v="8"/>
    <x v="0"/>
  </r>
  <r>
    <x v="137"/>
    <x v="0"/>
    <x v="4"/>
    <n v="45492.692775555559"/>
    <x v="4"/>
    <x v="0"/>
    <s v="ANON-0000-0000-0384"/>
    <x v="8"/>
    <x v="0"/>
  </r>
  <r>
    <x v="138"/>
    <x v="0"/>
    <x v="4"/>
    <n v="45493.337320243052"/>
    <x v="13"/>
    <x v="0"/>
    <s v="ANON-0000-0000-0387"/>
    <x v="14"/>
    <x v="2"/>
  </r>
  <r>
    <x v="138"/>
    <x v="0"/>
    <x v="4"/>
    <n v="45493.338063483796"/>
    <x v="13"/>
    <x v="0"/>
    <s v="ANON-0000-0000-0387"/>
    <x v="8"/>
    <x v="0"/>
  </r>
  <r>
    <x v="138"/>
    <x v="0"/>
    <x v="4"/>
    <n v="45493.338789733796"/>
    <x v="13"/>
    <x v="0"/>
    <s v="ANON-0000-0000-0387"/>
    <x v="14"/>
    <x v="2"/>
  </r>
  <r>
    <x v="138"/>
    <x v="0"/>
    <x v="4"/>
    <n v="45493.37562042824"/>
    <x v="10"/>
    <x v="0"/>
    <s v="ANON-0000-0000-0388"/>
    <x v="8"/>
    <x v="0"/>
  </r>
  <r>
    <x v="138"/>
    <x v="0"/>
    <x v="4"/>
    <n v="45493.376711203702"/>
    <x v="10"/>
    <x v="0"/>
    <s v="ANON-0000-0000-0389"/>
    <x v="8"/>
    <x v="0"/>
  </r>
  <r>
    <x v="138"/>
    <x v="0"/>
    <x v="4"/>
    <n v="45493.443993564812"/>
    <x v="0"/>
    <x v="0"/>
    <s v="ANON-0000-0000-0390"/>
    <x v="14"/>
    <x v="2"/>
  </r>
  <r>
    <x v="138"/>
    <x v="0"/>
    <x v="4"/>
    <n v="45493.635523391204"/>
    <x v="3"/>
    <x v="0"/>
    <s v="ANON-0000-0000-0391"/>
    <x v="8"/>
    <x v="0"/>
  </r>
  <r>
    <x v="139"/>
    <x v="0"/>
    <x v="4"/>
    <n v="45494.43814604167"/>
    <x v="0"/>
    <x v="0"/>
    <s v="ANON-0000-0000-0367"/>
    <x v="8"/>
    <x v="4"/>
  </r>
  <r>
    <x v="139"/>
    <x v="0"/>
    <x v="4"/>
    <n v="45494.485749722226"/>
    <x v="7"/>
    <x v="0"/>
    <s v="ANON-0000-0000-0392"/>
    <x v="8"/>
    <x v="7"/>
  </r>
  <r>
    <x v="139"/>
    <x v="0"/>
    <x v="4"/>
    <n v="45494.565634826387"/>
    <x v="2"/>
    <x v="0"/>
    <s v="ANON-0000-0000-0393"/>
    <x v="14"/>
    <x v="5"/>
  </r>
  <r>
    <x v="139"/>
    <x v="0"/>
    <x v="4"/>
    <n v="45494.571197268517"/>
    <x v="2"/>
    <x v="0"/>
    <s v="ANON-0000-0000-0394"/>
    <x v="8"/>
    <x v="0"/>
  </r>
  <r>
    <x v="140"/>
    <x v="0"/>
    <x v="4"/>
    <n v="45495.342629016202"/>
    <x v="13"/>
    <x v="0"/>
    <s v="ANON-0000-0000-0375"/>
    <x v="14"/>
    <x v="2"/>
  </r>
  <r>
    <x v="140"/>
    <x v="0"/>
    <x v="4"/>
    <n v="45495.36168465278"/>
    <x v="13"/>
    <x v="0"/>
    <s v="ANON-0000-0000-0395"/>
    <x v="14"/>
    <x v="2"/>
  </r>
  <r>
    <x v="140"/>
    <x v="0"/>
    <x v="4"/>
    <n v="45495.42751465278"/>
    <x v="0"/>
    <x v="0"/>
    <s v="ANON-0000-0000-0385"/>
    <x v="11"/>
    <x v="3"/>
  </r>
  <r>
    <x v="140"/>
    <x v="0"/>
    <x v="4"/>
    <n v="45495.697657326389"/>
    <x v="4"/>
    <x v="0"/>
    <s v="ANON-0000-0000-0396"/>
    <x v="8"/>
    <x v="0"/>
  </r>
  <r>
    <x v="141"/>
    <x v="0"/>
    <x v="4"/>
    <n v="45496.342317465278"/>
    <x v="13"/>
    <x v="0"/>
    <s v="ANON-0000-0000-0197"/>
    <x v="8"/>
    <x v="0"/>
  </r>
  <r>
    <x v="141"/>
    <x v="0"/>
    <x v="4"/>
    <n v="45496.361330798609"/>
    <x v="13"/>
    <x v="0"/>
    <s v="ANON-0000-0000-0395"/>
    <x v="14"/>
    <x v="2"/>
  </r>
  <r>
    <x v="141"/>
    <x v="0"/>
    <x v="4"/>
    <n v="45496.36451175926"/>
    <x v="13"/>
    <x v="0"/>
    <s v="ANON-0000-0000-0397"/>
    <x v="11"/>
    <x v="3"/>
  </r>
  <r>
    <x v="141"/>
    <x v="0"/>
    <x v="4"/>
    <n v="45496.367651701388"/>
    <x v="13"/>
    <x v="0"/>
    <s v="ANON-0000-0000-0398"/>
    <x v="8"/>
    <x v="4"/>
  </r>
  <r>
    <x v="141"/>
    <x v="0"/>
    <x v="4"/>
    <n v="45496.368869965278"/>
    <x v="13"/>
    <x v="0"/>
    <s v="ANON-0000-0000-0399"/>
    <x v="8"/>
    <x v="0"/>
  </r>
  <r>
    <x v="141"/>
    <x v="0"/>
    <x v="4"/>
    <n v="45496.376223460647"/>
    <x v="10"/>
    <x v="0"/>
    <s v="ANON-0000-0000-0375"/>
    <x v="14"/>
    <x v="2"/>
  </r>
  <r>
    <x v="141"/>
    <x v="0"/>
    <x v="4"/>
    <n v="45496.419172361107"/>
    <x v="0"/>
    <x v="0"/>
    <s v="ANON-0000-0000-0400"/>
    <x v="11"/>
    <x v="3"/>
  </r>
  <r>
    <x v="141"/>
    <x v="0"/>
    <x v="4"/>
    <n v="45496.638946423613"/>
    <x v="3"/>
    <x v="0"/>
    <s v="ANON-0000-0000-0401"/>
    <x v="11"/>
    <x v="3"/>
  </r>
  <r>
    <x v="141"/>
    <x v="0"/>
    <x v="4"/>
    <n v="45496.639598148147"/>
    <x v="3"/>
    <x v="0"/>
    <s v="ANON-0000-0000-0401"/>
    <x v="8"/>
    <x v="0"/>
  </r>
  <r>
    <x v="141"/>
    <x v="0"/>
    <x v="4"/>
    <n v="45496.876164490743"/>
    <x v="15"/>
    <x v="0"/>
    <s v="ANON-0000-0000-0009"/>
    <x v="8"/>
    <x v="0"/>
  </r>
  <r>
    <x v="141"/>
    <x v="0"/>
    <x v="4"/>
    <n v="45496.891128483796"/>
    <x v="15"/>
    <x v="0"/>
    <s v="ANON-0000-0000-0012"/>
    <x v="14"/>
    <x v="2"/>
  </r>
  <r>
    <x v="141"/>
    <x v="0"/>
    <x v="4"/>
    <n v="45496.891928344907"/>
    <x v="15"/>
    <x v="0"/>
    <s v="ANON-0000-0000-0012"/>
    <x v="14"/>
    <x v="2"/>
  </r>
  <r>
    <x v="142"/>
    <x v="0"/>
    <x v="4"/>
    <n v="45497.386224699076"/>
    <x v="10"/>
    <x v="0"/>
    <s v="ANON-0000-0000-0097"/>
    <x v="11"/>
    <x v="3"/>
  </r>
  <r>
    <x v="142"/>
    <x v="0"/>
    <x v="4"/>
    <n v="45497.402025543983"/>
    <x v="10"/>
    <x v="0"/>
    <s v="ANON-0000-0000-0385"/>
    <x v="11"/>
    <x v="3"/>
  </r>
  <r>
    <x v="142"/>
    <x v="0"/>
    <x v="4"/>
    <n v="45497.412933518521"/>
    <x v="10"/>
    <x v="0"/>
    <s v="ANON-0000-0000-0402"/>
    <x v="15"/>
    <x v="6"/>
  </r>
  <r>
    <x v="142"/>
    <x v="0"/>
    <x v="4"/>
    <n v="45497.488809270835"/>
    <x v="7"/>
    <x v="0"/>
    <s v="ANON-0000-0000-0379"/>
    <x v="8"/>
    <x v="7"/>
  </r>
  <r>
    <x v="142"/>
    <x v="0"/>
    <x v="4"/>
    <n v="45497.580021076392"/>
    <x v="2"/>
    <x v="0"/>
    <s v="ANON-0000-0000-0399"/>
    <x v="8"/>
    <x v="0"/>
  </r>
  <r>
    <x v="142"/>
    <x v="0"/>
    <x v="4"/>
    <n v="45497.615159328707"/>
    <x v="8"/>
    <x v="0"/>
    <s v="ANON-0000-0000-0012"/>
    <x v="15"/>
    <x v="6"/>
  </r>
  <r>
    <x v="142"/>
    <x v="0"/>
    <x v="4"/>
    <n v="45497.637853263892"/>
    <x v="3"/>
    <x v="0"/>
    <s v="ANON-0000-0000-0009"/>
    <x v="8"/>
    <x v="0"/>
  </r>
  <r>
    <x v="142"/>
    <x v="0"/>
    <x v="4"/>
    <n v="45497.802149050927"/>
    <x v="6"/>
    <x v="0"/>
    <s v="ANON-0000-0000-0205"/>
    <x v="8"/>
    <x v="7"/>
  </r>
  <r>
    <x v="142"/>
    <x v="0"/>
    <x v="4"/>
    <n v="45497.803469664352"/>
    <x v="6"/>
    <x v="0"/>
    <s v="ANON-0000-0000-0205"/>
    <x v="8"/>
    <x v="7"/>
  </r>
  <r>
    <x v="142"/>
    <x v="0"/>
    <x v="4"/>
    <n v="45497.887231446759"/>
    <x v="15"/>
    <x v="0"/>
    <s v="ANON-0000-0000-0040"/>
    <x v="11"/>
    <x v="3"/>
  </r>
  <r>
    <x v="142"/>
    <x v="0"/>
    <x v="4"/>
    <n v="45497.887977939812"/>
    <x v="15"/>
    <x v="0"/>
    <s v="ANON-0000-0000-0040"/>
    <x v="14"/>
    <x v="2"/>
  </r>
  <r>
    <x v="142"/>
    <x v="0"/>
    <x v="4"/>
    <n v="45497.892563576388"/>
    <x v="15"/>
    <x v="0"/>
    <s v="ANON-0000-0000-0012"/>
    <x v="14"/>
    <x v="2"/>
  </r>
  <r>
    <x v="143"/>
    <x v="0"/>
    <x v="4"/>
    <n v="45498.329721469905"/>
    <x v="11"/>
    <x v="0"/>
    <s v="ANON-0000-0000-0012"/>
    <x v="14"/>
    <x v="2"/>
  </r>
  <r>
    <x v="143"/>
    <x v="0"/>
    <x v="4"/>
    <n v="45498.367574398151"/>
    <x v="13"/>
    <x v="0"/>
    <s v="ANON-0000-0000-0399"/>
    <x v="8"/>
    <x v="0"/>
  </r>
  <r>
    <x v="143"/>
    <x v="0"/>
    <x v="4"/>
    <n v="45498.437322094906"/>
    <x v="0"/>
    <x v="0"/>
    <s v="ANON-0000-0000-0385"/>
    <x v="11"/>
    <x v="3"/>
  </r>
  <r>
    <x v="143"/>
    <x v="0"/>
    <x v="4"/>
    <n v="45498.476443298612"/>
    <x v="7"/>
    <x v="0"/>
    <s v="ANON-0000-0000-0375"/>
    <x v="14"/>
    <x v="2"/>
  </r>
  <r>
    <x v="143"/>
    <x v="0"/>
    <x v="4"/>
    <n v="45498.642436481481"/>
    <x v="3"/>
    <x v="0"/>
    <s v="ANON-0000-0000-0403"/>
    <x v="8"/>
    <x v="7"/>
  </r>
  <r>
    <x v="143"/>
    <x v="0"/>
    <x v="4"/>
    <n v="45498.806258842589"/>
    <x v="6"/>
    <x v="0"/>
    <s v="ANON-0000-0000-0257"/>
    <x v="8"/>
    <x v="7"/>
  </r>
  <r>
    <x v="143"/>
    <x v="0"/>
    <x v="4"/>
    <n v="45498.879181388889"/>
    <x v="15"/>
    <x v="0"/>
    <s v="ANON-0000-0000-0404"/>
    <x v="14"/>
    <x v="5"/>
  </r>
  <r>
    <x v="143"/>
    <x v="0"/>
    <x v="4"/>
    <n v="45498.879745393519"/>
    <x v="15"/>
    <x v="0"/>
    <s v="ANON-0000-0000-0404"/>
    <x v="15"/>
    <x v="6"/>
  </r>
  <r>
    <x v="143"/>
    <x v="0"/>
    <x v="4"/>
    <n v="45498.943649652778"/>
    <x v="14"/>
    <x v="0"/>
    <s v="ANON-0000-0000-0328"/>
    <x v="14"/>
    <x v="5"/>
  </r>
  <r>
    <x v="143"/>
    <x v="0"/>
    <x v="4"/>
    <n v="45498.944291550928"/>
    <x v="14"/>
    <x v="0"/>
    <s v="ANON-0000-0000-0405"/>
    <x v="8"/>
    <x v="4"/>
  </r>
  <r>
    <x v="144"/>
    <x v="0"/>
    <x v="4"/>
    <n v="45499.356264733797"/>
    <x v="13"/>
    <x v="0"/>
    <s v="ANON-0000-0000-0406"/>
    <x v="8"/>
    <x v="0"/>
  </r>
  <r>
    <x v="144"/>
    <x v="0"/>
    <x v="4"/>
    <n v="45499.388627037035"/>
    <x v="10"/>
    <x v="0"/>
    <s v="ANON-0000-0000-0097"/>
    <x v="11"/>
    <x v="3"/>
  </r>
  <r>
    <x v="144"/>
    <x v="0"/>
    <x v="4"/>
    <n v="45499.38928638889"/>
    <x v="10"/>
    <x v="0"/>
    <s v="ANON-0000-0000-0059"/>
    <x v="15"/>
    <x v="6"/>
  </r>
  <r>
    <x v="144"/>
    <x v="0"/>
    <x v="4"/>
    <n v="45499.398049895834"/>
    <x v="10"/>
    <x v="0"/>
    <s v="ANON-0000-0000-0407"/>
    <x v="14"/>
    <x v="5"/>
  </r>
  <r>
    <x v="144"/>
    <x v="0"/>
    <x v="4"/>
    <n v="45499.398803622687"/>
    <x v="10"/>
    <x v="0"/>
    <s v="ANON-0000-0000-0407"/>
    <x v="14"/>
    <x v="5"/>
  </r>
  <r>
    <x v="144"/>
    <x v="0"/>
    <x v="4"/>
    <n v="45499.416063275465"/>
    <x v="10"/>
    <x v="0"/>
    <s v="ANON-0000-0000-0408"/>
    <x v="8"/>
    <x v="0"/>
  </r>
  <r>
    <x v="144"/>
    <x v="0"/>
    <x v="4"/>
    <n v="45499.416698136571"/>
    <x v="0"/>
    <x v="0"/>
    <s v="ANON-0000-0000-0408"/>
    <x v="8"/>
    <x v="0"/>
  </r>
  <r>
    <x v="144"/>
    <x v="0"/>
    <x v="4"/>
    <n v="45499.491132581017"/>
    <x v="7"/>
    <x v="0"/>
    <s v="ANON-0000-0000-0385"/>
    <x v="11"/>
    <x v="3"/>
  </r>
  <r>
    <x v="144"/>
    <x v="0"/>
    <x v="4"/>
    <n v="45499.504880439817"/>
    <x v="1"/>
    <x v="0"/>
    <s v="ANON-0000-0000-0379"/>
    <x v="11"/>
    <x v="3"/>
  </r>
  <r>
    <x v="144"/>
    <x v="0"/>
    <x v="4"/>
    <n v="45499.519537546294"/>
    <x v="1"/>
    <x v="0"/>
    <s v="ANON-0000-0000-0339"/>
    <x v="8"/>
    <x v="7"/>
  </r>
  <r>
    <x v="144"/>
    <x v="0"/>
    <x v="4"/>
    <n v="45499.520343842596"/>
    <x v="1"/>
    <x v="0"/>
    <s v="ANON-0000-0000-0339"/>
    <x v="8"/>
    <x v="7"/>
  </r>
  <r>
    <x v="144"/>
    <x v="0"/>
    <x v="4"/>
    <n v="45499.548566412035"/>
    <x v="2"/>
    <x v="0"/>
    <s v="ANON-0000-0000-0409"/>
    <x v="8"/>
    <x v="0"/>
  </r>
  <r>
    <x v="144"/>
    <x v="0"/>
    <x v="4"/>
    <n v="45499.724645219911"/>
    <x v="9"/>
    <x v="0"/>
    <s v="ANON-0000-0000-0410"/>
    <x v="14"/>
    <x v="2"/>
  </r>
  <r>
    <x v="144"/>
    <x v="0"/>
    <x v="4"/>
    <n v="45499.748949270834"/>
    <x v="9"/>
    <x v="0"/>
    <s v="ANON-0000-0000-0411"/>
    <x v="8"/>
    <x v="7"/>
  </r>
  <r>
    <x v="144"/>
    <x v="0"/>
    <x v="4"/>
    <n v="45499.885527916667"/>
    <x v="15"/>
    <x v="0"/>
    <s v="ANON-0000-0000-0009"/>
    <x v="8"/>
    <x v="0"/>
  </r>
  <r>
    <x v="144"/>
    <x v="0"/>
    <x v="4"/>
    <n v="45499.951299976849"/>
    <x v="14"/>
    <x v="0"/>
    <s v="ANON-0000-0000-0412"/>
    <x v="11"/>
    <x v="3"/>
  </r>
  <r>
    <x v="145"/>
    <x v="0"/>
    <x v="4"/>
    <n v="45500.381440474535"/>
    <x v="10"/>
    <x v="0"/>
    <s v="ANON-0000-0000-0097"/>
    <x v="8"/>
    <x v="7"/>
  </r>
  <r>
    <x v="145"/>
    <x v="0"/>
    <x v="4"/>
    <n v="45500.496890983799"/>
    <x v="7"/>
    <x v="0"/>
    <s v="ANON-0000-0000-0413"/>
    <x v="11"/>
    <x v="3"/>
  </r>
  <r>
    <x v="145"/>
    <x v="0"/>
    <x v="4"/>
    <n v="45500.517478182868"/>
    <x v="1"/>
    <x v="0"/>
    <s v="ANON-0000-0000-0059"/>
    <x v="11"/>
    <x v="3"/>
  </r>
  <r>
    <x v="145"/>
    <x v="0"/>
    <x v="4"/>
    <n v="45500.518207858797"/>
    <x v="1"/>
    <x v="0"/>
    <s v="ANON-0000-0000-0040"/>
    <x v="15"/>
    <x v="6"/>
  </r>
  <r>
    <x v="145"/>
    <x v="0"/>
    <x v="4"/>
    <n v="45500.523183680554"/>
    <x v="1"/>
    <x v="0"/>
    <s v="ANON-0000-0000-0059"/>
    <x v="11"/>
    <x v="3"/>
  </r>
  <r>
    <x v="145"/>
    <x v="0"/>
    <x v="4"/>
    <n v="45500.603262777775"/>
    <x v="8"/>
    <x v="0"/>
    <s v="ANON-0000-0000-0225"/>
    <x v="15"/>
    <x v="6"/>
  </r>
  <r>
    <x v="145"/>
    <x v="0"/>
    <x v="4"/>
    <n v="45500.619365694445"/>
    <x v="8"/>
    <x v="0"/>
    <s v="ANON-0000-0000-0077"/>
    <x v="8"/>
    <x v="0"/>
  </r>
  <r>
    <x v="145"/>
    <x v="0"/>
    <x v="4"/>
    <n v="45500.710108310188"/>
    <x v="9"/>
    <x v="0"/>
    <s v="ANON-0000-0000-0414"/>
    <x v="8"/>
    <x v="7"/>
  </r>
  <r>
    <x v="145"/>
    <x v="0"/>
    <x v="4"/>
    <n v="45500.710869351853"/>
    <x v="9"/>
    <x v="0"/>
    <s v="ANON-0000-0000-0415"/>
    <x v="8"/>
    <x v="7"/>
  </r>
  <r>
    <x v="145"/>
    <x v="0"/>
    <x v="4"/>
    <n v="45500.714588240742"/>
    <x v="9"/>
    <x v="0"/>
    <s v="ANON-0000-0000-0416"/>
    <x v="11"/>
    <x v="3"/>
  </r>
  <r>
    <x v="145"/>
    <x v="0"/>
    <x v="4"/>
    <n v="45500.715371226848"/>
    <x v="9"/>
    <x v="0"/>
    <s v="ANON-0000-0000-0416"/>
    <x v="11"/>
    <x v="3"/>
  </r>
  <r>
    <x v="145"/>
    <x v="0"/>
    <x v="4"/>
    <n v="45500.871761284725"/>
    <x v="12"/>
    <x v="0"/>
    <s v="ANON-0000-0000-0009"/>
    <x v="8"/>
    <x v="0"/>
  </r>
  <r>
    <x v="145"/>
    <x v="0"/>
    <x v="4"/>
    <n v="45500.955832349537"/>
    <x v="14"/>
    <x v="0"/>
    <s v="ANON-0000-0000-0417"/>
    <x v="8"/>
    <x v="7"/>
  </r>
  <r>
    <x v="146"/>
    <x v="0"/>
    <x v="4"/>
    <n v="45501.463494444448"/>
    <x v="7"/>
    <x v="0"/>
    <s v="ANON-0000-0000-0012"/>
    <x v="15"/>
    <x v="6"/>
  </r>
  <r>
    <x v="146"/>
    <x v="0"/>
    <x v="4"/>
    <n v="45501.595766261577"/>
    <x v="8"/>
    <x v="0"/>
    <s v="ANON-0000-0000-0276"/>
    <x v="11"/>
    <x v="3"/>
  </r>
  <r>
    <x v="146"/>
    <x v="0"/>
    <x v="4"/>
    <n v="45501.596437453707"/>
    <x v="8"/>
    <x v="0"/>
    <s v="ANON-0000-0000-0276"/>
    <x v="8"/>
    <x v="0"/>
  </r>
  <r>
    <x v="147"/>
    <x v="0"/>
    <x v="4"/>
    <n v="45502.341740810189"/>
    <x v="13"/>
    <x v="0"/>
    <s v="ANON-0000-0000-0418"/>
    <x v="8"/>
    <x v="0"/>
  </r>
  <r>
    <x v="147"/>
    <x v="0"/>
    <x v="4"/>
    <n v="45502.378333009263"/>
    <x v="10"/>
    <x v="0"/>
    <s v="ANON-0000-0000-0012"/>
    <x v="14"/>
    <x v="2"/>
  </r>
  <r>
    <x v="147"/>
    <x v="0"/>
    <x v="4"/>
    <n v="45502.385950868054"/>
    <x v="10"/>
    <x v="0"/>
    <s v="ANON-0000-0000-0097"/>
    <x v="11"/>
    <x v="3"/>
  </r>
  <r>
    <x v="147"/>
    <x v="0"/>
    <x v="4"/>
    <n v="45502.388704652774"/>
    <x v="10"/>
    <x v="0"/>
    <s v="ANON-0000-0000-0003"/>
    <x v="14"/>
    <x v="2"/>
  </r>
  <r>
    <x v="147"/>
    <x v="0"/>
    <x v="4"/>
    <n v="45502.410703090274"/>
    <x v="10"/>
    <x v="0"/>
    <s v="ANON-0000-0000-0419"/>
    <x v="11"/>
    <x v="3"/>
  </r>
  <r>
    <x v="147"/>
    <x v="0"/>
    <x v="4"/>
    <n v="45502.415620821761"/>
    <x v="10"/>
    <x v="0"/>
    <s v="ANON-0000-0000-0420"/>
    <x v="8"/>
    <x v="7"/>
  </r>
  <r>
    <x v="147"/>
    <x v="0"/>
    <x v="4"/>
    <n v="45502.447036585647"/>
    <x v="0"/>
    <x v="0"/>
    <s v="ANON-0000-0000-0421"/>
    <x v="8"/>
    <x v="1"/>
  </r>
  <r>
    <x v="147"/>
    <x v="0"/>
    <x v="4"/>
    <n v="45502.447868587966"/>
    <x v="0"/>
    <x v="0"/>
    <s v="ANON-0000-0000-0421"/>
    <x v="8"/>
    <x v="1"/>
  </r>
  <r>
    <x v="147"/>
    <x v="0"/>
    <x v="4"/>
    <n v="45502.79619364583"/>
    <x v="6"/>
    <x v="0"/>
    <s v="ANON-0000-0000-0422"/>
    <x v="8"/>
    <x v="7"/>
  </r>
  <r>
    <x v="147"/>
    <x v="0"/>
    <x v="4"/>
    <n v="45502.812688877311"/>
    <x v="6"/>
    <x v="0"/>
    <s v="ANON-0000-0000-0099"/>
    <x v="14"/>
    <x v="2"/>
  </r>
  <r>
    <x v="147"/>
    <x v="0"/>
    <x v="4"/>
    <n v="45502.914981701389"/>
    <x v="15"/>
    <x v="0"/>
    <s v="ANON-0000-0000-0328"/>
    <x v="8"/>
    <x v="4"/>
  </r>
  <r>
    <x v="148"/>
    <x v="0"/>
    <x v="4"/>
    <n v="45503.320265567127"/>
    <x v="11"/>
    <x v="0"/>
    <s v="ANON-0000-0000-0423"/>
    <x v="11"/>
    <x v="3"/>
  </r>
  <r>
    <x v="148"/>
    <x v="0"/>
    <x v="4"/>
    <n v="45503.336889074075"/>
    <x v="13"/>
    <x v="0"/>
    <s v="ANON-0000-0000-0424"/>
    <x v="14"/>
    <x v="5"/>
  </r>
  <r>
    <x v="148"/>
    <x v="0"/>
    <x v="4"/>
    <n v="45503.347813831017"/>
    <x v="13"/>
    <x v="0"/>
    <s v="ANON-0000-0000-0425"/>
    <x v="8"/>
    <x v="7"/>
  </r>
  <r>
    <x v="148"/>
    <x v="0"/>
    <x v="4"/>
    <n v="45503.384527974536"/>
    <x v="10"/>
    <x v="0"/>
    <s v="ANON-0000-0000-0097"/>
    <x v="11"/>
    <x v="3"/>
  </r>
  <r>
    <x v="148"/>
    <x v="0"/>
    <x v="4"/>
    <n v="45503.428601238425"/>
    <x v="0"/>
    <x v="0"/>
    <s v="ANON-0000-0000-0141"/>
    <x v="14"/>
    <x v="5"/>
  </r>
  <r>
    <x v="148"/>
    <x v="0"/>
    <x v="4"/>
    <n v="45503.430257094908"/>
    <x v="0"/>
    <x v="0"/>
    <s v="ANON-0000-0000-0276"/>
    <x v="11"/>
    <x v="3"/>
  </r>
  <r>
    <x v="148"/>
    <x v="0"/>
    <x v="4"/>
    <n v="45503.432871759258"/>
    <x v="0"/>
    <x v="0"/>
    <s v="ANON-0000-0000-0250"/>
    <x v="8"/>
    <x v="0"/>
  </r>
  <r>
    <x v="148"/>
    <x v="0"/>
    <x v="4"/>
    <n v="45503.466751840278"/>
    <x v="7"/>
    <x v="0"/>
    <s v="ANON-0000-0000-0426"/>
    <x v="14"/>
    <x v="2"/>
  </r>
  <r>
    <x v="148"/>
    <x v="0"/>
    <x v="4"/>
    <n v="45503.467548819448"/>
    <x v="7"/>
    <x v="0"/>
    <s v="ANON-0000-0000-0426"/>
    <x v="15"/>
    <x v="6"/>
  </r>
  <r>
    <x v="148"/>
    <x v="0"/>
    <x v="4"/>
    <n v="45503.468537939814"/>
    <x v="7"/>
    <x v="0"/>
    <s v="ANON-0000-0000-0427"/>
    <x v="11"/>
    <x v="3"/>
  </r>
  <r>
    <x v="148"/>
    <x v="0"/>
    <x v="4"/>
    <n v="45503.469463310183"/>
    <x v="7"/>
    <x v="0"/>
    <s v="ANON-0000-0000-0428"/>
    <x v="11"/>
    <x v="3"/>
  </r>
  <r>
    <x v="148"/>
    <x v="0"/>
    <x v="4"/>
    <n v="45503.47956871528"/>
    <x v="7"/>
    <x v="0"/>
    <s v="ANON-0000-0000-0429"/>
    <x v="11"/>
    <x v="3"/>
  </r>
  <r>
    <x v="148"/>
    <x v="0"/>
    <x v="4"/>
    <n v="45503.480333437503"/>
    <x v="7"/>
    <x v="0"/>
    <s v="ANON-0000-0000-0430"/>
    <x v="11"/>
    <x v="3"/>
  </r>
  <r>
    <x v="148"/>
    <x v="0"/>
    <x v="4"/>
    <n v="45503.505642453703"/>
    <x v="1"/>
    <x v="0"/>
    <s v="ANON-0000-0000-0431"/>
    <x v="8"/>
    <x v="0"/>
  </r>
  <r>
    <x v="148"/>
    <x v="0"/>
    <x v="4"/>
    <n v="45503.636222546294"/>
    <x v="3"/>
    <x v="0"/>
    <s v="ANON-0000-0000-0432"/>
    <x v="11"/>
    <x v="3"/>
  </r>
  <r>
    <x v="148"/>
    <x v="0"/>
    <x v="4"/>
    <n v="45503.672834212965"/>
    <x v="4"/>
    <x v="0"/>
    <s v="ANON-0000-0000-0433"/>
    <x v="14"/>
    <x v="5"/>
  </r>
  <r>
    <x v="148"/>
    <x v="0"/>
    <x v="4"/>
    <n v="45503.673421608793"/>
    <x v="4"/>
    <x v="0"/>
    <s v="ANON-0000-0000-0433"/>
    <x v="11"/>
    <x v="3"/>
  </r>
  <r>
    <x v="148"/>
    <x v="0"/>
    <x v="4"/>
    <n v="45503.850230023148"/>
    <x v="12"/>
    <x v="0"/>
    <s v="ANON-0000-0000-0434"/>
    <x v="15"/>
    <x v="6"/>
  </r>
  <r>
    <x v="148"/>
    <x v="0"/>
    <x v="4"/>
    <n v="45503.870739189813"/>
    <x v="12"/>
    <x v="0"/>
    <s v="ANON-0000-0000-0097"/>
    <x v="11"/>
    <x v="3"/>
  </r>
  <r>
    <x v="148"/>
    <x v="0"/>
    <x v="4"/>
    <n v="45503.871369398148"/>
    <x v="12"/>
    <x v="0"/>
    <s v="ANON-0000-0000-0097"/>
    <x v="11"/>
    <x v="3"/>
  </r>
  <r>
    <x v="148"/>
    <x v="0"/>
    <x v="4"/>
    <n v="45503.872943564813"/>
    <x v="12"/>
    <x v="0"/>
    <s v="ANON-0000-0000-0347"/>
    <x v="11"/>
    <x v="3"/>
  </r>
  <r>
    <x v="148"/>
    <x v="0"/>
    <x v="4"/>
    <n v="45503.898138865741"/>
    <x v="15"/>
    <x v="0"/>
    <s v="ANON-0000-0000-0435"/>
    <x v="8"/>
    <x v="0"/>
  </r>
  <r>
    <x v="148"/>
    <x v="0"/>
    <x v="4"/>
    <n v="45503.927331990744"/>
    <x v="14"/>
    <x v="0"/>
    <s v="ANON-0000-0000-0436"/>
    <x v="14"/>
    <x v="2"/>
  </r>
  <r>
    <x v="148"/>
    <x v="0"/>
    <x v="4"/>
    <n v="45503.928000694446"/>
    <x v="14"/>
    <x v="0"/>
    <s v="ANON-0000-0000-0436"/>
    <x v="8"/>
    <x v="7"/>
  </r>
  <r>
    <x v="149"/>
    <x v="0"/>
    <x v="4"/>
    <n v="45504.333241875"/>
    <x v="11"/>
    <x v="0"/>
    <s v="ANON-0000-0000-0423"/>
    <x v="11"/>
    <x v="3"/>
  </r>
  <r>
    <x v="149"/>
    <x v="0"/>
    <x v="4"/>
    <n v="45504.359513229167"/>
    <x v="13"/>
    <x v="0"/>
    <s v="ANON-0000-0000-0437"/>
    <x v="11"/>
    <x v="3"/>
  </r>
  <r>
    <x v="149"/>
    <x v="0"/>
    <x v="4"/>
    <n v="45504.360164768521"/>
    <x v="13"/>
    <x v="0"/>
    <s v="ANON-0000-0000-0437"/>
    <x v="11"/>
    <x v="3"/>
  </r>
  <r>
    <x v="149"/>
    <x v="0"/>
    <x v="4"/>
    <n v="45504.413024479167"/>
    <x v="10"/>
    <x v="0"/>
    <s v="ANON-0000-0000-0388"/>
    <x v="14"/>
    <x v="2"/>
  </r>
  <r>
    <x v="149"/>
    <x v="0"/>
    <x v="4"/>
    <n v="45504.413716921299"/>
    <x v="10"/>
    <x v="0"/>
    <s v="ANON-0000-0000-0388"/>
    <x v="14"/>
    <x v="2"/>
  </r>
  <r>
    <x v="149"/>
    <x v="0"/>
    <x v="4"/>
    <n v="45504.415461377313"/>
    <x v="10"/>
    <x v="0"/>
    <s v="ANON-0000-0000-0276"/>
    <x v="11"/>
    <x v="3"/>
  </r>
  <r>
    <x v="149"/>
    <x v="0"/>
    <x v="4"/>
    <n v="45504.549798715278"/>
    <x v="2"/>
    <x v="0"/>
    <s v="ANON-0000-0000-0384"/>
    <x v="8"/>
    <x v="4"/>
  </r>
  <r>
    <x v="149"/>
    <x v="0"/>
    <x v="4"/>
    <n v="45504.551392199071"/>
    <x v="2"/>
    <x v="0"/>
    <s v="ANON-0000-0000-0384"/>
    <x v="8"/>
    <x v="0"/>
  </r>
  <r>
    <x v="149"/>
    <x v="0"/>
    <x v="4"/>
    <n v="45504.558905520833"/>
    <x v="2"/>
    <x v="0"/>
    <s v="ANON-0000-0000-0438"/>
    <x v="11"/>
    <x v="3"/>
  </r>
  <r>
    <x v="149"/>
    <x v="0"/>
    <x v="4"/>
    <n v="45504.741745219908"/>
    <x v="9"/>
    <x v="0"/>
    <s v="ANON-0000-0000-0439"/>
    <x v="14"/>
    <x v="5"/>
  </r>
  <r>
    <x v="149"/>
    <x v="0"/>
    <x v="4"/>
    <n v="45504.752951064816"/>
    <x v="5"/>
    <x v="0"/>
    <s v="ANON-0000-0000-0440"/>
    <x v="8"/>
    <x v="0"/>
  </r>
  <r>
    <x v="149"/>
    <x v="0"/>
    <x v="4"/>
    <n v="45504.807394479169"/>
    <x v="6"/>
    <x v="0"/>
    <s v="ANON-0000-0000-0441"/>
    <x v="14"/>
    <x v="5"/>
  </r>
  <r>
    <x v="149"/>
    <x v="0"/>
    <x v="4"/>
    <n v="45504.811633576392"/>
    <x v="6"/>
    <x v="0"/>
    <s v="ANON-0000-0000-0009"/>
    <x v="8"/>
    <x v="0"/>
  </r>
  <r>
    <x v="149"/>
    <x v="0"/>
    <x v="4"/>
    <n v="45504.86576872685"/>
    <x v="12"/>
    <x v="0"/>
    <s v="ANON-0000-0000-0442"/>
    <x v="8"/>
    <x v="4"/>
  </r>
  <r>
    <x v="149"/>
    <x v="0"/>
    <x v="4"/>
    <n v="45504.868141331019"/>
    <x v="12"/>
    <x v="0"/>
    <s v="ANON-0000-0000-0443"/>
    <x v="14"/>
    <x v="5"/>
  </r>
  <r>
    <x v="149"/>
    <x v="0"/>
    <x v="4"/>
    <n v="45504.86887017361"/>
    <x v="12"/>
    <x v="0"/>
    <s v="ANON-0000-0000-0443"/>
    <x v="8"/>
    <x v="0"/>
  </r>
  <r>
    <x v="149"/>
    <x v="0"/>
    <x v="4"/>
    <n v="45504.869615763891"/>
    <x v="12"/>
    <x v="0"/>
    <s v="ANON-0000-0000-0153"/>
    <x v="8"/>
    <x v="7"/>
  </r>
  <r>
    <x v="149"/>
    <x v="0"/>
    <x v="4"/>
    <n v="45504.870544872683"/>
    <x v="12"/>
    <x v="0"/>
    <s v="ANON-0000-0000-0443"/>
    <x v="14"/>
    <x v="5"/>
  </r>
  <r>
    <x v="149"/>
    <x v="0"/>
    <x v="4"/>
    <n v="45504.874595057867"/>
    <x v="12"/>
    <x v="0"/>
    <s v="ANON-0000-0000-0040"/>
    <x v="11"/>
    <x v="3"/>
  </r>
  <r>
    <x v="149"/>
    <x v="0"/>
    <x v="4"/>
    <n v="45504.89335648148"/>
    <x v="15"/>
    <x v="0"/>
    <s v="ANON-0000-0000-0444"/>
    <x v="8"/>
    <x v="0"/>
  </r>
  <r>
    <x v="149"/>
    <x v="0"/>
    <x v="4"/>
    <n v="45504.912636851848"/>
    <x v="15"/>
    <x v="0"/>
    <s v="ANON-0000-0000-0445"/>
    <x v="8"/>
    <x v="0"/>
  </r>
  <r>
    <x v="149"/>
    <x v="0"/>
    <x v="4"/>
    <n v="45504.91338622685"/>
    <x v="15"/>
    <x v="0"/>
    <s v="ANON-0000-0000-0446"/>
    <x v="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A3:C20" firstHeaderRow="1" firstDataRow="1" firstDataCol="0"/>
  <pivotFields count="9">
    <pivotField numFmtId="14" showAll="0"/>
    <pivotField numFmtId="1" showAll="0"/>
    <pivotField numFmtId="1" showAll="0"/>
    <pivotField numFmtId="2" showAll="0"/>
    <pivotField numFmtId="1" showAll="0" sortType="ascending">
      <items count="17">
        <item x="11"/>
        <item x="13"/>
        <item x="10"/>
        <item x="0"/>
        <item x="7"/>
        <item x="1"/>
        <item x="2"/>
        <item x="8"/>
        <item x="3"/>
        <item x="4"/>
        <item x="9"/>
        <item x="5"/>
        <item x="6"/>
        <item x="12"/>
        <item x="15"/>
        <item x="14"/>
        <item t="default"/>
      </items>
    </pivotField>
    <pivotField showAll="0"/>
    <pivotField showAll="0"/>
    <pivotField numFmtId="164"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A3:B154" firstHeaderRow="1" firstDataRow="1" firstDataCol="1"/>
  <pivotFields count="9">
    <pivotField axis="axisRow" numFmtId="14"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umFmtId="1" showAll="0"/>
    <pivotField numFmtId="1" showAll="0"/>
    <pivotField numFmtId="2" showAll="0"/>
    <pivotField numFmtId="1" showAll="0"/>
    <pivotField showAll="0"/>
    <pivotField showAll="0"/>
    <pivotField dataField="1" numFmtId="164" showAll="0"/>
    <pivotField showAll="0"/>
  </pivotFields>
  <rowFields count="1">
    <field x="0"/>
  </rowFields>
  <rowItems count="1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t="grand">
      <x/>
    </i>
  </rowItems>
  <colItems count="1">
    <i/>
  </colItems>
  <dataFields count="1">
    <dataField name="Sum of money" fld="7"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20" firstHeaderRow="1" firstDataRow="1" firstDataCol="1"/>
  <pivotFields count="9">
    <pivotField numFmtId="14" showAll="0"/>
    <pivotField numFmtId="1" showAll="0">
      <items count="2">
        <item x="0"/>
        <item t="default"/>
      </items>
    </pivotField>
    <pivotField numFmtId="1" showAll="0">
      <items count="6">
        <item x="0"/>
        <item x="1"/>
        <item x="2"/>
        <item x="3"/>
        <item x="4"/>
        <item t="default"/>
      </items>
    </pivotField>
    <pivotField numFmtId="2" showAll="0"/>
    <pivotField axis="axisRow" numFmtId="1" showAll="0">
      <items count="17">
        <item x="11"/>
        <item x="13"/>
        <item x="10"/>
        <item x="0"/>
        <item x="7"/>
        <item x="1"/>
        <item x="2"/>
        <item x="8"/>
        <item x="3"/>
        <item x="4"/>
        <item x="9"/>
        <item x="5"/>
        <item x="6"/>
        <item x="12"/>
        <item x="15"/>
        <item x="14"/>
        <item t="default"/>
      </items>
    </pivotField>
    <pivotField showAll="0"/>
    <pivotField showAll="0"/>
    <pivotField dataField="1" numFmtId="164" showAll="0"/>
    <pivotField showAll="0"/>
  </pivotFields>
  <rowFields count="1">
    <field x="4"/>
  </rowFields>
  <rowItems count="17">
    <i>
      <x/>
    </i>
    <i>
      <x v="1"/>
    </i>
    <i>
      <x v="2"/>
    </i>
    <i>
      <x v="3"/>
    </i>
    <i>
      <x v="4"/>
    </i>
    <i>
      <x v="5"/>
    </i>
    <i>
      <x v="6"/>
    </i>
    <i>
      <x v="7"/>
    </i>
    <i>
      <x v="8"/>
    </i>
    <i>
      <x v="9"/>
    </i>
    <i>
      <x v="10"/>
    </i>
    <i>
      <x v="11"/>
    </i>
    <i>
      <x v="12"/>
    </i>
    <i>
      <x v="13"/>
    </i>
    <i>
      <x v="14"/>
    </i>
    <i>
      <x v="15"/>
    </i>
    <i t="grand">
      <x/>
    </i>
  </rowItems>
  <colItems count="1">
    <i/>
  </colItems>
  <dataFields count="1">
    <dataField name="Sum of mone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C20" firstHeaderRow="1" firstDataRow="1" firstDataCol="0"/>
  <pivotFields count="9">
    <pivotField numFmtId="14"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umFmtId="1" showAll="0"/>
    <pivotField numFmtId="1" showAll="0"/>
    <pivotField numFmtId="2" showAll="0"/>
    <pivotField numFmtId="1" showAll="0"/>
    <pivotField showAll="0"/>
    <pivotField showAll="0"/>
    <pivotField numFmtId="164"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3">
  <location ref="A3:B154" firstHeaderRow="1" firstDataRow="1" firstDataCol="1"/>
  <pivotFields count="9">
    <pivotField axis="axisRow" numFmtId="14" showAll="0" sortType="ascending">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umFmtId="1" showAll="0">
      <items count="2">
        <item x="0"/>
        <item t="default"/>
      </items>
    </pivotField>
    <pivotField numFmtId="1" showAll="0">
      <items count="6">
        <item x="0"/>
        <item x="1"/>
        <item x="2"/>
        <item x="3"/>
        <item x="4"/>
        <item t="default"/>
      </items>
    </pivotField>
    <pivotField numFmtId="2" showAll="0"/>
    <pivotField numFmtId="1" showAll="0"/>
    <pivotField showAll="0"/>
    <pivotField showAll="0"/>
    <pivotField dataField="1" numFmtId="164" showAll="0"/>
    <pivotField showAll="0"/>
  </pivotFields>
  <rowFields count="1">
    <field x="0"/>
  </rowFields>
  <rowItems count="1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t="grand">
      <x/>
    </i>
  </rowItems>
  <colItems count="1">
    <i/>
  </colItems>
  <dataFields count="1">
    <dataField name="Sum of money" fld="7" baseField="0" baseItem="0"/>
  </dataField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A3:B6" firstHeaderRow="1" firstDataRow="1" firstDataCol="1"/>
  <pivotFields count="9">
    <pivotField numFmtId="14" showAll="0"/>
    <pivotField numFmtId="1" showAll="0">
      <items count="2">
        <item x="0"/>
        <item t="default"/>
      </items>
    </pivotField>
    <pivotField numFmtId="1" showAll="0">
      <items count="6">
        <item x="0"/>
        <item x="1"/>
        <item x="2"/>
        <item x="3"/>
        <item x="4"/>
        <item t="default"/>
      </items>
    </pivotField>
    <pivotField numFmtId="2" showAll="0"/>
    <pivotField numFmtId="1" showAll="0"/>
    <pivotField axis="axisRow" showAll="0">
      <items count="3">
        <item x="0"/>
        <item x="1"/>
        <item t="default"/>
      </items>
    </pivotField>
    <pivotField showAll="0"/>
    <pivotField dataField="1" numFmtId="164" showAll="0"/>
    <pivotField showAll="0"/>
  </pivotFields>
  <rowFields count="1">
    <field x="5"/>
  </rowFields>
  <rowItems count="3">
    <i>
      <x/>
    </i>
    <i>
      <x v="1"/>
    </i>
    <i t="grand">
      <x/>
    </i>
  </rowItems>
  <colItems count="1">
    <i/>
  </colItems>
  <dataFields count="1">
    <dataField name="Sum of money" fld="7" baseField="0" baseItem="0"/>
  </dataFields>
  <chartFormats count="12">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5" count="1" selected="0">
            <x v="0"/>
          </reference>
        </references>
      </pivotArea>
    </chartFormat>
    <chartFormat chart="1" format="2">
      <pivotArea type="data" outline="0" fieldPosition="0">
        <references count="2">
          <reference field="4294967294" count="1" selected="0">
            <x v="0"/>
          </reference>
          <reference field="5" count="1" selected="0">
            <x v="1"/>
          </reference>
        </references>
      </pivotArea>
    </chartFormat>
    <chartFormat chart="2" format="1">
      <pivotArea type="data" outline="0" fieldPosition="0">
        <references count="2">
          <reference field="4294967294" count="1" selected="0">
            <x v="0"/>
          </reference>
          <reference field="5" count="1" selected="0">
            <x v="0"/>
          </reference>
        </references>
      </pivotArea>
    </chartFormat>
    <chartFormat chart="2" format="2">
      <pivotArea type="data" outline="0" fieldPosition="0">
        <references count="2">
          <reference field="4294967294" count="1" selected="0">
            <x v="0"/>
          </reference>
          <reference field="5" count="1" selected="0">
            <x v="1"/>
          </reference>
        </references>
      </pivotArea>
    </chartFormat>
    <chartFormat chart="9" format="3" series="1">
      <pivotArea type="data" outline="0" fieldPosition="0">
        <references count="1">
          <reference field="4294967294" count="1" selected="0">
            <x v="0"/>
          </reference>
        </references>
      </pivotArea>
    </chartFormat>
    <chartFormat chart="9" format="4">
      <pivotArea type="data" outline="0" fieldPosition="0">
        <references count="2">
          <reference field="4294967294" count="1" selected="0">
            <x v="0"/>
          </reference>
          <reference field="5" count="1" selected="0">
            <x v="0"/>
          </reference>
        </references>
      </pivotArea>
    </chartFormat>
    <chartFormat chart="9" format="5">
      <pivotArea type="data" outline="0" fieldPosition="0">
        <references count="2">
          <reference field="4294967294" count="1" selected="0">
            <x v="0"/>
          </reference>
          <reference field="5"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5" count="1" selected="0">
            <x v="0"/>
          </reference>
        </references>
      </pivotArea>
    </chartFormat>
    <chartFormat chart="10" format="8">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3:B12" firstHeaderRow="1" firstDataRow="1" firstDataCol="1"/>
  <pivotFields count="9">
    <pivotField numFmtId="14" showAll="0"/>
    <pivotField numFmtId="1" showAll="0">
      <items count="2">
        <item x="0"/>
        <item t="default"/>
      </items>
    </pivotField>
    <pivotField numFmtId="1" showAll="0">
      <items count="6">
        <item x="0"/>
        <item x="1"/>
        <item x="2"/>
        <item x="3"/>
        <item x="4"/>
        <item t="default"/>
      </items>
    </pivotField>
    <pivotField numFmtId="2" showAll="0"/>
    <pivotField numFmtId="1" showAll="0"/>
    <pivotField showAll="0"/>
    <pivotField showAll="0"/>
    <pivotField dataField="1" numFmtId="164" showAll="0"/>
    <pivotField axis="axisRow" showAll="0">
      <items count="9">
        <item x="2"/>
        <item x="3"/>
        <item x="7"/>
        <item x="4"/>
        <item x="5"/>
        <item x="6"/>
        <item x="1"/>
        <item x="0"/>
        <item t="default"/>
      </items>
    </pivotField>
  </pivotFields>
  <rowFields count="1">
    <field x="8"/>
  </rowFields>
  <rowItems count="9">
    <i>
      <x/>
    </i>
    <i>
      <x v="1"/>
    </i>
    <i>
      <x v="2"/>
    </i>
    <i>
      <x v="3"/>
    </i>
    <i>
      <x v="4"/>
    </i>
    <i>
      <x v="5"/>
    </i>
    <i>
      <x v="6"/>
    </i>
    <i>
      <x v="7"/>
    </i>
    <i t="grand">
      <x/>
    </i>
  </rowItems>
  <colItems count="1">
    <i/>
  </colItems>
  <dataFields count="1">
    <dataField name="Sum of money"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3:B9" firstHeaderRow="1" firstDataRow="1" firstDataCol="1"/>
  <pivotFields count="9">
    <pivotField numFmtId="14" showAll="0"/>
    <pivotField numFmtId="1" showAll="0">
      <items count="2">
        <item x="0"/>
        <item t="default"/>
      </items>
    </pivotField>
    <pivotField axis="axisRow" numFmtId="1" showAll="0">
      <items count="6">
        <item x="0"/>
        <item x="1"/>
        <item x="2"/>
        <item x="3"/>
        <item x="4"/>
        <item t="default"/>
      </items>
    </pivotField>
    <pivotField numFmtId="2" showAll="0"/>
    <pivotField numFmtId="1" showAll="0"/>
    <pivotField showAll="0"/>
    <pivotField showAll="0"/>
    <pivotField dataField="1" numFmtId="164" showAll="0">
      <items count="17">
        <item x="15"/>
        <item x="14"/>
        <item x="4"/>
        <item x="7"/>
        <item x="11"/>
        <item x="1"/>
        <item x="12"/>
        <item x="6"/>
        <item x="8"/>
        <item x="2"/>
        <item x="13"/>
        <item x="5"/>
        <item x="10"/>
        <item x="0"/>
        <item x="9"/>
        <item x="3"/>
        <item t="default"/>
      </items>
    </pivotField>
    <pivotField showAll="0">
      <items count="9">
        <item x="2"/>
        <item x="3"/>
        <item x="7"/>
        <item x="4"/>
        <item x="5"/>
        <item x="6"/>
        <item x="1"/>
        <item x="0"/>
        <item t="default"/>
      </items>
    </pivotField>
  </pivotFields>
  <rowFields count="1">
    <field x="2"/>
  </rowFields>
  <rowItems count="6">
    <i>
      <x/>
    </i>
    <i>
      <x v="1"/>
    </i>
    <i>
      <x v="2"/>
    </i>
    <i>
      <x v="3"/>
    </i>
    <i>
      <x v="4"/>
    </i>
    <i t="grand">
      <x/>
    </i>
  </rowItems>
  <colItems count="1">
    <i/>
  </colItems>
  <dataFields count="1">
    <dataField name="Sum of money" fld="7"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B9" firstHeaderRow="1" firstDataRow="1" firstDataCol="1"/>
  <pivotFields count="9">
    <pivotField numFmtId="14" showAll="0"/>
    <pivotField numFmtId="1" showAll="0"/>
    <pivotField axis="axisRow" numFmtId="1" showAll="0">
      <items count="6">
        <item x="0"/>
        <item x="1"/>
        <item x="2"/>
        <item x="3"/>
        <item x="4"/>
        <item t="default"/>
      </items>
    </pivotField>
    <pivotField numFmtId="2" showAll="0"/>
    <pivotField numFmtId="1" showAll="0"/>
    <pivotField showAll="0"/>
    <pivotField showAll="0"/>
    <pivotField dataField="1" numFmtId="164" showAll="0"/>
    <pivotField showAll="0"/>
  </pivotFields>
  <rowFields count="1">
    <field x="2"/>
  </rowFields>
  <rowItems count="6">
    <i>
      <x/>
    </i>
    <i>
      <x v="1"/>
    </i>
    <i>
      <x v="2"/>
    </i>
    <i>
      <x v="3"/>
    </i>
    <i>
      <x v="4"/>
    </i>
    <i t="grand">
      <x/>
    </i>
  </rowItems>
  <colItems count="1">
    <i/>
  </colItems>
  <dataFields count="1">
    <dataField name="Sum of money" fld="7"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9" name="PivotTable9"/>
    <pivotTable tabId="8" name="PivotTable8"/>
    <pivotTable tabId="6" name="PivotTable6"/>
    <pivotTable tabId="4" name="PivotTable3"/>
    <pivotTable tabId="7" name="PivotTable7"/>
  </pivotTables>
  <data>
    <tabular pivotCacheId="1">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9" name="PivotTable9"/>
    <pivotTable tabId="6" name="PivotTable6"/>
    <pivotTable tabId="4" name="PivotTable3"/>
    <pivotTable tabId="7" name="PivotTable7"/>
    <pivotTable tabId="8" name="PivotTable8"/>
  </pivotTables>
  <data>
    <tabular pivotCacheId="1">
      <items count="5">
        <i x="0" s="1"/>
        <i x="1"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offee_name" sourceName="coffee_name">
  <pivotTables>
    <pivotTable tabId="9" name="PivotTable9"/>
  </pivotTables>
  <data>
    <tabular pivotCacheId="1">
      <items count="8">
        <i x="2" s="1"/>
        <i x="3" s="1"/>
        <i x="7" s="1"/>
        <i x="4" s="1"/>
        <i x="5" s="1"/>
        <i x="6"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rowHeight="234950"/>
  <slicer name="MONTH" cache="Slicer_MONTH" caption="MONTH" rowHeight="234950"/>
  <slicer name="coffee_name" cache="Slicer_coffee_name" caption="coffee_name"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year 1" cache="Slicer_year" caption="year" style="SlicerStyleLight2" rowHeight="234950"/>
  <slicer name="MONTH 1" cache="Slicer_MONTH" caption="MONTH" columnCount="5" style="SlicerStyleLight2" rowHeight="234950"/>
  <slicer name="coffee_name 1" cache="Slicer_coffee_name" caption="coffee_name" columnCount="4" style="SlicerStyleLight2" rowHeight="234950"/>
</slicers>
</file>

<file path=xl/tables/table1.xml><?xml version="1.0" encoding="utf-8"?>
<table xmlns="http://schemas.openxmlformats.org/spreadsheetml/2006/main" id="2" name="Table2" displayName="Table2" ref="A1:I197" totalsRowShown="0">
  <autoFilter ref="A1:I197"/>
  <tableColumns count="9">
    <tableColumn id="1" name="date" dataDxfId="6"/>
    <tableColumn id="2" name="year"/>
    <tableColumn id="3" name="MONTH"/>
    <tableColumn id="4" name="datetime"/>
    <tableColumn id="5" name="HOUR"/>
    <tableColumn id="6" name="cash_type"/>
    <tableColumn id="7" name="card"/>
    <tableColumn id="8" name="money"/>
    <tableColumn id="9" name="coffee_name"/>
  </tableColumns>
  <tableStyleInfo name="TableStyleMedium2" showFirstColumn="0" showLastColumn="0" showRowStripes="1" showColumnStripes="0"/>
</table>
</file>

<file path=xl/tables/table2.xml><?xml version="1.0" encoding="utf-8"?>
<table xmlns="http://schemas.openxmlformats.org/spreadsheetml/2006/main" id="1" name="salesdata" displayName="salesdata" ref="A1:I1133" totalsRowShown="0">
  <autoFilter ref="A1:I1133">
    <filterColumn colId="6">
      <customFilters>
        <customFilter operator="notEqual" val=" "/>
      </customFilters>
    </filterColumn>
  </autoFilter>
  <sortState ref="A2:F1134">
    <sortCondition ref="A2"/>
  </sortState>
  <tableColumns count="9">
    <tableColumn id="1" name="date" dataDxfId="5"/>
    <tableColumn id="7" name="year" dataDxfId="4">
      <calculatedColumnFormula>YEAR(A2)</calculatedColumnFormula>
    </tableColumn>
    <tableColumn id="8" name="MONTH" dataDxfId="3">
      <calculatedColumnFormula>MONTH(A2)</calculatedColumnFormula>
    </tableColumn>
    <tableColumn id="2" name="datetime" dataDxfId="2"/>
    <tableColumn id="9" name="HOUR" dataDxfId="1">
      <calculatedColumnFormula>HOUR(D2)</calculatedColumnFormula>
    </tableColumn>
    <tableColumn id="3" name="cash_type"/>
    <tableColumn id="4" name="card"/>
    <tableColumn id="5" name="money" dataDxfId="0"/>
    <tableColumn id="6" name="coffee_name"/>
  </tableColumns>
  <tableStyleInfo name="TableStyleMedium2" showFirstColumn="0" showLastColumn="0" showRowStripes="1" showColumnStripes="0"/>
</table>
</file>

<file path=xl/theme/theme1.xml><?xml version="1.0" encoding="utf-8"?>
<a:theme xmlns:a="http://schemas.openxmlformats.org/drawingml/2006/main" name="Facet">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0"/>
  <sheetViews>
    <sheetView workbookViewId="0">
      <selection activeCell="B8" sqref="B8"/>
    </sheetView>
  </sheetViews>
  <sheetFormatPr defaultRowHeight="14.4" x14ac:dyDescent="0.3"/>
  <cols>
    <col min="1" max="2" width="13.44140625" customWidth="1"/>
  </cols>
  <sheetData>
    <row r="3" spans="1:3" x14ac:dyDescent="0.3">
      <c r="A3" s="5"/>
      <c r="B3" s="6"/>
      <c r="C3" s="7"/>
    </row>
    <row r="4" spans="1:3" x14ac:dyDescent="0.3">
      <c r="A4" s="8"/>
      <c r="B4" s="9"/>
      <c r="C4" s="10"/>
    </row>
    <row r="5" spans="1:3" x14ac:dyDescent="0.3">
      <c r="A5" s="8"/>
      <c r="B5" s="9"/>
      <c r="C5" s="10"/>
    </row>
    <row r="6" spans="1:3" x14ac:dyDescent="0.3">
      <c r="A6" s="8"/>
      <c r="B6" s="9"/>
      <c r="C6" s="10"/>
    </row>
    <row r="7" spans="1:3" x14ac:dyDescent="0.3">
      <c r="A7" s="8"/>
      <c r="B7" s="9"/>
      <c r="C7" s="10"/>
    </row>
    <row r="8" spans="1:3" x14ac:dyDescent="0.3">
      <c r="A8" s="8"/>
      <c r="B8" s="9"/>
      <c r="C8" s="10"/>
    </row>
    <row r="9" spans="1:3" x14ac:dyDescent="0.3">
      <c r="A9" s="8"/>
      <c r="B9" s="9"/>
      <c r="C9" s="10"/>
    </row>
    <row r="10" spans="1:3" x14ac:dyDescent="0.3">
      <c r="A10" s="8"/>
      <c r="B10" s="9"/>
      <c r="C10" s="10"/>
    </row>
    <row r="11" spans="1:3" x14ac:dyDescent="0.3">
      <c r="A11" s="8"/>
      <c r="B11" s="9"/>
      <c r="C11" s="10"/>
    </row>
    <row r="12" spans="1:3" x14ac:dyDescent="0.3">
      <c r="A12" s="8"/>
      <c r="B12" s="9"/>
      <c r="C12" s="10"/>
    </row>
    <row r="13" spans="1:3" x14ac:dyDescent="0.3">
      <c r="A13" s="8"/>
      <c r="B13" s="9"/>
      <c r="C13" s="10"/>
    </row>
    <row r="14" spans="1:3" x14ac:dyDescent="0.3">
      <c r="A14" s="8"/>
      <c r="B14" s="9"/>
      <c r="C14" s="10"/>
    </row>
    <row r="15" spans="1:3" x14ac:dyDescent="0.3">
      <c r="A15" s="8"/>
      <c r="B15" s="9"/>
      <c r="C15" s="10"/>
    </row>
    <row r="16" spans="1:3" x14ac:dyDescent="0.3">
      <c r="A16" s="8"/>
      <c r="B16" s="9"/>
      <c r="C16" s="10"/>
    </row>
    <row r="17" spans="1:3" x14ac:dyDescent="0.3">
      <c r="A17" s="8"/>
      <c r="B17" s="9"/>
      <c r="C17" s="10"/>
    </row>
    <row r="18" spans="1:3" x14ac:dyDescent="0.3">
      <c r="A18" s="8"/>
      <c r="B18" s="9"/>
      <c r="C18" s="10"/>
    </row>
    <row r="19" spans="1:3" x14ac:dyDescent="0.3">
      <c r="A19" s="8"/>
      <c r="B19" s="9"/>
      <c r="C19" s="10"/>
    </row>
    <row r="20" spans="1:3" x14ac:dyDescent="0.3">
      <c r="A20" s="11"/>
      <c r="B20" s="12"/>
      <c r="C20" s="1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54"/>
  <sheetViews>
    <sheetView workbookViewId="0">
      <selection activeCell="A3" sqref="A3"/>
    </sheetView>
  </sheetViews>
  <sheetFormatPr defaultRowHeight="14.4" x14ac:dyDescent="0.3"/>
  <cols>
    <col min="1" max="1" width="12.5546875" customWidth="1"/>
    <col min="2" max="2" width="13.44140625" customWidth="1"/>
  </cols>
  <sheetData>
    <row r="3" spans="1:2" x14ac:dyDescent="0.3">
      <c r="A3" s="15" t="s">
        <v>464</v>
      </c>
      <c r="B3" t="s">
        <v>466</v>
      </c>
    </row>
    <row r="4" spans="1:2" x14ac:dyDescent="0.3">
      <c r="A4" s="17">
        <v>45352</v>
      </c>
      <c r="B4" s="14">
        <v>396.3</v>
      </c>
    </row>
    <row r="5" spans="1:2" x14ac:dyDescent="0.3">
      <c r="A5" s="17">
        <v>45353</v>
      </c>
      <c r="B5" s="14">
        <v>228.1</v>
      </c>
    </row>
    <row r="6" spans="1:2" x14ac:dyDescent="0.3">
      <c r="A6" s="17">
        <v>45354</v>
      </c>
      <c r="B6" s="14">
        <v>349.09999999999997</v>
      </c>
    </row>
    <row r="7" spans="1:2" x14ac:dyDescent="0.3">
      <c r="A7" s="17">
        <v>45355</v>
      </c>
      <c r="B7" s="14">
        <v>135.19999999999999</v>
      </c>
    </row>
    <row r="8" spans="1:2" x14ac:dyDescent="0.3">
      <c r="A8" s="17">
        <v>45356</v>
      </c>
      <c r="B8" s="14">
        <v>338.49999999999994</v>
      </c>
    </row>
    <row r="9" spans="1:2" x14ac:dyDescent="0.3">
      <c r="A9" s="17">
        <v>45357</v>
      </c>
      <c r="B9" s="14">
        <v>170.2</v>
      </c>
    </row>
    <row r="10" spans="1:2" x14ac:dyDescent="0.3">
      <c r="A10" s="17">
        <v>45358</v>
      </c>
      <c r="B10" s="14">
        <v>220.10000000000002</v>
      </c>
    </row>
    <row r="11" spans="1:2" x14ac:dyDescent="0.3">
      <c r="A11" s="17">
        <v>45359</v>
      </c>
      <c r="B11" s="14">
        <v>265.5</v>
      </c>
    </row>
    <row r="12" spans="1:2" x14ac:dyDescent="0.3">
      <c r="A12" s="17">
        <v>45360</v>
      </c>
      <c r="B12" s="14">
        <v>479.4</v>
      </c>
    </row>
    <row r="13" spans="1:2" x14ac:dyDescent="0.3">
      <c r="A13" s="17">
        <v>45361</v>
      </c>
      <c r="B13" s="14">
        <v>231.6</v>
      </c>
    </row>
    <row r="14" spans="1:2" x14ac:dyDescent="0.3">
      <c r="A14" s="17">
        <v>45362</v>
      </c>
      <c r="B14" s="14">
        <v>275.2</v>
      </c>
    </row>
    <row r="15" spans="1:2" x14ac:dyDescent="0.3">
      <c r="A15" s="17">
        <v>45363</v>
      </c>
      <c r="B15" s="14">
        <v>228.10000000000002</v>
      </c>
    </row>
    <row r="16" spans="1:2" x14ac:dyDescent="0.3">
      <c r="A16" s="17">
        <v>45364</v>
      </c>
      <c r="B16" s="14">
        <v>256.2</v>
      </c>
    </row>
    <row r="17" spans="1:2" x14ac:dyDescent="0.3">
      <c r="A17" s="17">
        <v>45365</v>
      </c>
      <c r="B17" s="14">
        <v>397.09999999999997</v>
      </c>
    </row>
    <row r="18" spans="1:2" x14ac:dyDescent="0.3">
      <c r="A18" s="17">
        <v>45366</v>
      </c>
      <c r="B18" s="14">
        <v>107.6</v>
      </c>
    </row>
    <row r="19" spans="1:2" x14ac:dyDescent="0.3">
      <c r="A19" s="17">
        <v>45367</v>
      </c>
      <c r="B19" s="14">
        <v>183.2</v>
      </c>
    </row>
    <row r="20" spans="1:2" x14ac:dyDescent="0.3">
      <c r="A20" s="17">
        <v>45368</v>
      </c>
      <c r="B20" s="14">
        <v>68.900000000000006</v>
      </c>
    </row>
    <row r="21" spans="1:2" x14ac:dyDescent="0.3">
      <c r="A21" s="17">
        <v>45369</v>
      </c>
      <c r="B21" s="14">
        <v>115.6</v>
      </c>
    </row>
    <row r="22" spans="1:2" x14ac:dyDescent="0.3">
      <c r="A22" s="17">
        <v>45370</v>
      </c>
      <c r="B22" s="14">
        <v>219.90000000000003</v>
      </c>
    </row>
    <row r="23" spans="1:2" x14ac:dyDescent="0.3">
      <c r="A23" s="17">
        <v>45371</v>
      </c>
      <c r="B23" s="14">
        <v>213.89999999999998</v>
      </c>
    </row>
    <row r="24" spans="1:2" x14ac:dyDescent="0.3">
      <c r="A24" s="17">
        <v>45372</v>
      </c>
      <c r="B24" s="14">
        <v>205.20000000000005</v>
      </c>
    </row>
    <row r="25" spans="1:2" x14ac:dyDescent="0.3">
      <c r="A25" s="17">
        <v>45373</v>
      </c>
      <c r="B25" s="14">
        <v>189.4</v>
      </c>
    </row>
    <row r="26" spans="1:2" x14ac:dyDescent="0.3">
      <c r="A26" s="17">
        <v>45374</v>
      </c>
      <c r="B26" s="14">
        <v>285.09999999999997</v>
      </c>
    </row>
    <row r="27" spans="1:2" x14ac:dyDescent="0.3">
      <c r="A27" s="17">
        <v>45375</v>
      </c>
      <c r="B27" s="14">
        <v>78.7</v>
      </c>
    </row>
    <row r="28" spans="1:2" x14ac:dyDescent="0.3">
      <c r="A28" s="17">
        <v>45376</v>
      </c>
      <c r="B28" s="14">
        <v>223.60000000000002</v>
      </c>
    </row>
    <row r="29" spans="1:2" x14ac:dyDescent="0.3">
      <c r="A29" s="17">
        <v>45377</v>
      </c>
      <c r="B29" s="14">
        <v>376.7</v>
      </c>
    </row>
    <row r="30" spans="1:2" x14ac:dyDescent="0.3">
      <c r="A30" s="17">
        <v>45378</v>
      </c>
      <c r="B30" s="14">
        <v>271.7</v>
      </c>
    </row>
    <row r="31" spans="1:2" x14ac:dyDescent="0.3">
      <c r="A31" s="17">
        <v>45379</v>
      </c>
      <c r="B31" s="14">
        <v>125.39999999999999</v>
      </c>
    </row>
    <row r="32" spans="1:2" x14ac:dyDescent="0.3">
      <c r="A32" s="17">
        <v>45380</v>
      </c>
      <c r="B32" s="14">
        <v>156.10000000000002</v>
      </c>
    </row>
    <row r="33" spans="1:2" x14ac:dyDescent="0.3">
      <c r="A33" s="17">
        <v>45381</v>
      </c>
      <c r="B33" s="14">
        <v>189.90000000000003</v>
      </c>
    </row>
    <row r="34" spans="1:2" x14ac:dyDescent="0.3">
      <c r="A34" s="17">
        <v>45382</v>
      </c>
      <c r="B34" s="14">
        <v>68.7</v>
      </c>
    </row>
    <row r="35" spans="1:2" x14ac:dyDescent="0.3">
      <c r="A35" s="17">
        <v>45383</v>
      </c>
      <c r="B35" s="14">
        <v>242.8</v>
      </c>
    </row>
    <row r="36" spans="1:2" x14ac:dyDescent="0.3">
      <c r="A36" s="17">
        <v>45384</v>
      </c>
      <c r="B36" s="14">
        <v>136.5</v>
      </c>
    </row>
    <row r="37" spans="1:2" x14ac:dyDescent="0.3">
      <c r="A37" s="17">
        <v>45385</v>
      </c>
      <c r="B37" s="14">
        <v>126.5</v>
      </c>
    </row>
    <row r="38" spans="1:2" x14ac:dyDescent="0.3">
      <c r="A38" s="17">
        <v>45386</v>
      </c>
      <c r="B38" s="14">
        <v>185</v>
      </c>
    </row>
    <row r="39" spans="1:2" x14ac:dyDescent="0.3">
      <c r="A39" s="17">
        <v>45387</v>
      </c>
      <c r="B39" s="14">
        <v>362.1</v>
      </c>
    </row>
    <row r="40" spans="1:2" x14ac:dyDescent="0.3">
      <c r="A40" s="17">
        <v>45388</v>
      </c>
      <c r="B40" s="14">
        <v>140.10000000000002</v>
      </c>
    </row>
    <row r="41" spans="1:2" x14ac:dyDescent="0.3">
      <c r="A41" s="17">
        <v>45389</v>
      </c>
      <c r="B41" s="14">
        <v>241.5</v>
      </c>
    </row>
    <row r="42" spans="1:2" x14ac:dyDescent="0.3">
      <c r="A42" s="17">
        <v>45390</v>
      </c>
      <c r="B42" s="14">
        <v>340.2</v>
      </c>
    </row>
    <row r="43" spans="1:2" x14ac:dyDescent="0.3">
      <c r="A43" s="17">
        <v>45391</v>
      </c>
      <c r="B43" s="14">
        <v>186.10000000000002</v>
      </c>
    </row>
    <row r="44" spans="1:2" x14ac:dyDescent="0.3">
      <c r="A44" s="17">
        <v>45392</v>
      </c>
      <c r="B44" s="14">
        <v>166.4</v>
      </c>
    </row>
    <row r="45" spans="1:2" x14ac:dyDescent="0.3">
      <c r="A45" s="17">
        <v>45393</v>
      </c>
      <c r="B45" s="14">
        <v>169</v>
      </c>
    </row>
    <row r="46" spans="1:2" x14ac:dyDescent="0.3">
      <c r="A46" s="17">
        <v>45394</v>
      </c>
      <c r="B46" s="14">
        <v>67.599999999999994</v>
      </c>
    </row>
    <row r="47" spans="1:2" x14ac:dyDescent="0.3">
      <c r="A47" s="17">
        <v>45395</v>
      </c>
      <c r="B47" s="14">
        <v>302.39999999999998</v>
      </c>
    </row>
    <row r="48" spans="1:2" x14ac:dyDescent="0.3">
      <c r="A48" s="17">
        <v>45396</v>
      </c>
      <c r="B48" s="14">
        <v>434.2999999999999</v>
      </c>
    </row>
    <row r="49" spans="1:2" x14ac:dyDescent="0.3">
      <c r="A49" s="17">
        <v>45397</v>
      </c>
      <c r="B49" s="14">
        <v>150.39999999999998</v>
      </c>
    </row>
    <row r="50" spans="1:2" x14ac:dyDescent="0.3">
      <c r="A50" s="17">
        <v>45398</v>
      </c>
      <c r="B50" s="14">
        <v>276.5</v>
      </c>
    </row>
    <row r="51" spans="1:2" x14ac:dyDescent="0.3">
      <c r="A51" s="17">
        <v>45399</v>
      </c>
      <c r="B51" s="14">
        <v>199.20000000000002</v>
      </c>
    </row>
    <row r="52" spans="1:2" x14ac:dyDescent="0.3">
      <c r="A52" s="17">
        <v>45400</v>
      </c>
      <c r="B52" s="14">
        <v>352.69999999999993</v>
      </c>
    </row>
    <row r="53" spans="1:2" x14ac:dyDescent="0.3">
      <c r="A53" s="17">
        <v>45401</v>
      </c>
      <c r="B53" s="14">
        <v>261.10000000000002</v>
      </c>
    </row>
    <row r="54" spans="1:2" x14ac:dyDescent="0.3">
      <c r="A54" s="17">
        <v>45402</v>
      </c>
      <c r="B54" s="14">
        <v>494.30000000000007</v>
      </c>
    </row>
    <row r="55" spans="1:2" x14ac:dyDescent="0.3">
      <c r="A55" s="17">
        <v>45403</v>
      </c>
      <c r="B55" s="14">
        <v>104.64</v>
      </c>
    </row>
    <row r="56" spans="1:2" x14ac:dyDescent="0.3">
      <c r="A56" s="17">
        <v>45404</v>
      </c>
      <c r="B56" s="14">
        <v>176.46</v>
      </c>
    </row>
    <row r="57" spans="1:2" x14ac:dyDescent="0.3">
      <c r="A57" s="17">
        <v>45405</v>
      </c>
      <c r="B57" s="14">
        <v>173.89999999999998</v>
      </c>
    </row>
    <row r="58" spans="1:2" x14ac:dyDescent="0.3">
      <c r="A58" s="17">
        <v>45406</v>
      </c>
      <c r="B58" s="14">
        <v>272.35999999999996</v>
      </c>
    </row>
    <row r="59" spans="1:2" x14ac:dyDescent="0.3">
      <c r="A59" s="17">
        <v>45407</v>
      </c>
      <c r="B59" s="14">
        <v>121.48</v>
      </c>
    </row>
    <row r="60" spans="1:2" x14ac:dyDescent="0.3">
      <c r="A60" s="17">
        <v>45408</v>
      </c>
      <c r="B60" s="14">
        <v>300.28000000000009</v>
      </c>
    </row>
    <row r="61" spans="1:2" x14ac:dyDescent="0.3">
      <c r="A61" s="17">
        <v>45409</v>
      </c>
      <c r="B61" s="14">
        <v>37.72</v>
      </c>
    </row>
    <row r="62" spans="1:2" x14ac:dyDescent="0.3">
      <c r="A62" s="17">
        <v>45410</v>
      </c>
      <c r="B62" s="14">
        <v>169</v>
      </c>
    </row>
    <row r="63" spans="1:2" x14ac:dyDescent="0.3">
      <c r="A63" s="17">
        <v>45411</v>
      </c>
      <c r="B63" s="14">
        <v>257.65999999999997</v>
      </c>
    </row>
    <row r="64" spans="1:2" x14ac:dyDescent="0.3">
      <c r="A64" s="17">
        <v>45412</v>
      </c>
      <c r="B64" s="14">
        <v>272.35999999999996</v>
      </c>
    </row>
    <row r="65" spans="1:2" x14ac:dyDescent="0.3">
      <c r="A65" s="17">
        <v>45414</v>
      </c>
      <c r="B65" s="14">
        <v>245.72</v>
      </c>
    </row>
    <row r="66" spans="1:2" x14ac:dyDescent="0.3">
      <c r="A66" s="17">
        <v>45415</v>
      </c>
      <c r="B66" s="14">
        <v>114.44</v>
      </c>
    </row>
    <row r="67" spans="1:2" x14ac:dyDescent="0.3">
      <c r="A67" s="17">
        <v>45418</v>
      </c>
      <c r="B67" s="14">
        <v>314.58000000000004</v>
      </c>
    </row>
    <row r="68" spans="1:2" x14ac:dyDescent="0.3">
      <c r="A68" s="17">
        <v>45419</v>
      </c>
      <c r="B68" s="14">
        <v>344.08000000000004</v>
      </c>
    </row>
    <row r="69" spans="1:2" x14ac:dyDescent="0.3">
      <c r="A69" s="17">
        <v>45420</v>
      </c>
      <c r="B69" s="14">
        <v>37.72</v>
      </c>
    </row>
    <row r="70" spans="1:2" x14ac:dyDescent="0.3">
      <c r="A70" s="17">
        <v>45421</v>
      </c>
      <c r="B70" s="14">
        <v>295.38</v>
      </c>
    </row>
    <row r="71" spans="1:2" x14ac:dyDescent="0.3">
      <c r="A71" s="17">
        <v>45422</v>
      </c>
      <c r="B71" s="14">
        <v>148.44</v>
      </c>
    </row>
    <row r="72" spans="1:2" x14ac:dyDescent="0.3">
      <c r="A72" s="17">
        <v>45423</v>
      </c>
      <c r="B72" s="14">
        <v>293.24</v>
      </c>
    </row>
    <row r="73" spans="1:2" x14ac:dyDescent="0.3">
      <c r="A73" s="17">
        <v>45424</v>
      </c>
      <c r="B73" s="14">
        <v>272.35999999999996</v>
      </c>
    </row>
    <row r="74" spans="1:2" x14ac:dyDescent="0.3">
      <c r="A74" s="17">
        <v>45425</v>
      </c>
      <c r="B74" s="14">
        <v>90.82</v>
      </c>
    </row>
    <row r="75" spans="1:2" x14ac:dyDescent="0.3">
      <c r="A75" s="17">
        <v>45426</v>
      </c>
      <c r="B75" s="14">
        <v>403.64</v>
      </c>
    </row>
    <row r="76" spans="1:2" x14ac:dyDescent="0.3">
      <c r="A76" s="17">
        <v>45427</v>
      </c>
      <c r="B76" s="14">
        <v>350.82000000000005</v>
      </c>
    </row>
    <row r="77" spans="1:2" x14ac:dyDescent="0.3">
      <c r="A77" s="17">
        <v>45428</v>
      </c>
      <c r="B77" s="14">
        <v>327.34000000000003</v>
      </c>
    </row>
    <row r="78" spans="1:2" x14ac:dyDescent="0.3">
      <c r="A78" s="17">
        <v>45429</v>
      </c>
      <c r="B78" s="14">
        <v>306.36</v>
      </c>
    </row>
    <row r="79" spans="1:2" x14ac:dyDescent="0.3">
      <c r="A79" s="17">
        <v>45430</v>
      </c>
      <c r="B79" s="14">
        <v>283.43999999999994</v>
      </c>
    </row>
    <row r="80" spans="1:2" x14ac:dyDescent="0.3">
      <c r="A80" s="17">
        <v>45431</v>
      </c>
      <c r="B80" s="14">
        <v>417.84000000000003</v>
      </c>
    </row>
    <row r="81" spans="1:2" x14ac:dyDescent="0.3">
      <c r="A81" s="17">
        <v>45432</v>
      </c>
      <c r="B81" s="14">
        <v>559.0200000000001</v>
      </c>
    </row>
    <row r="82" spans="1:2" x14ac:dyDescent="0.3">
      <c r="A82" s="17">
        <v>45433</v>
      </c>
      <c r="B82" s="14">
        <v>314.89999999999998</v>
      </c>
    </row>
    <row r="83" spans="1:2" x14ac:dyDescent="0.3">
      <c r="A83" s="17">
        <v>45434</v>
      </c>
      <c r="B83" s="14">
        <v>370.82000000000005</v>
      </c>
    </row>
    <row r="84" spans="1:2" x14ac:dyDescent="0.3">
      <c r="A84" s="17">
        <v>45435</v>
      </c>
      <c r="B84" s="14">
        <v>575.4000000000002</v>
      </c>
    </row>
    <row r="85" spans="1:2" x14ac:dyDescent="0.3">
      <c r="A85" s="17">
        <v>45436</v>
      </c>
      <c r="B85" s="14">
        <v>210.14</v>
      </c>
    </row>
    <row r="86" spans="1:2" x14ac:dyDescent="0.3">
      <c r="A86" s="17">
        <v>45437</v>
      </c>
      <c r="B86" s="14">
        <v>254.91999999999996</v>
      </c>
    </row>
    <row r="87" spans="1:2" x14ac:dyDescent="0.3">
      <c r="A87" s="17">
        <v>45438</v>
      </c>
      <c r="B87" s="14">
        <v>526.60000000000014</v>
      </c>
    </row>
    <row r="88" spans="1:2" x14ac:dyDescent="0.3">
      <c r="A88" s="17">
        <v>45439</v>
      </c>
      <c r="B88" s="14">
        <v>365.91999999999996</v>
      </c>
    </row>
    <row r="89" spans="1:2" x14ac:dyDescent="0.3">
      <c r="A89" s="17">
        <v>45440</v>
      </c>
      <c r="B89" s="14">
        <v>372.1</v>
      </c>
    </row>
    <row r="90" spans="1:2" x14ac:dyDescent="0.3">
      <c r="A90" s="17">
        <v>45441</v>
      </c>
      <c r="B90" s="14">
        <v>396.6</v>
      </c>
    </row>
    <row r="91" spans="1:2" x14ac:dyDescent="0.3">
      <c r="A91" s="17">
        <v>45442</v>
      </c>
      <c r="B91" s="14">
        <v>370.82</v>
      </c>
    </row>
    <row r="92" spans="1:2" x14ac:dyDescent="0.3">
      <c r="A92" s="17">
        <v>45443</v>
      </c>
      <c r="B92" s="14">
        <v>499.96000000000004</v>
      </c>
    </row>
    <row r="93" spans="1:2" x14ac:dyDescent="0.3">
      <c r="A93" s="17">
        <v>45444</v>
      </c>
      <c r="B93" s="14">
        <v>386.8</v>
      </c>
    </row>
    <row r="94" spans="1:2" x14ac:dyDescent="0.3">
      <c r="A94" s="17">
        <v>45445</v>
      </c>
      <c r="B94" s="14">
        <v>212.79999999999998</v>
      </c>
    </row>
    <row r="95" spans="1:2" x14ac:dyDescent="0.3">
      <c r="A95" s="17">
        <v>45446</v>
      </c>
      <c r="B95" s="14">
        <v>251.7</v>
      </c>
    </row>
    <row r="96" spans="1:2" x14ac:dyDescent="0.3">
      <c r="A96" s="17">
        <v>45447</v>
      </c>
      <c r="B96" s="14">
        <v>474.18</v>
      </c>
    </row>
    <row r="97" spans="1:2" x14ac:dyDescent="0.3">
      <c r="A97" s="17">
        <v>45448</v>
      </c>
      <c r="B97" s="14">
        <v>310.08</v>
      </c>
    </row>
    <row r="98" spans="1:2" x14ac:dyDescent="0.3">
      <c r="A98" s="17">
        <v>45449</v>
      </c>
      <c r="B98" s="14">
        <v>385.52</v>
      </c>
    </row>
    <row r="99" spans="1:2" x14ac:dyDescent="0.3">
      <c r="A99" s="17">
        <v>45450</v>
      </c>
      <c r="B99" s="14">
        <v>149.4</v>
      </c>
    </row>
    <row r="100" spans="1:2" x14ac:dyDescent="0.3">
      <c r="A100" s="17">
        <v>45451</v>
      </c>
      <c r="B100" s="14">
        <v>136.18</v>
      </c>
    </row>
    <row r="101" spans="1:2" x14ac:dyDescent="0.3">
      <c r="A101" s="17">
        <v>45452</v>
      </c>
      <c r="B101" s="14">
        <v>436.46000000000004</v>
      </c>
    </row>
    <row r="102" spans="1:2" x14ac:dyDescent="0.3">
      <c r="A102" s="17">
        <v>45453</v>
      </c>
      <c r="B102" s="14">
        <v>226.32</v>
      </c>
    </row>
    <row r="103" spans="1:2" x14ac:dyDescent="0.3">
      <c r="A103" s="17">
        <v>45454</v>
      </c>
      <c r="B103" s="14">
        <v>211.61999999999998</v>
      </c>
    </row>
    <row r="104" spans="1:2" x14ac:dyDescent="0.3">
      <c r="A104" s="17">
        <v>45455</v>
      </c>
      <c r="B104" s="14">
        <v>221.42</v>
      </c>
    </row>
    <row r="105" spans="1:2" x14ac:dyDescent="0.3">
      <c r="A105" s="17">
        <v>45456</v>
      </c>
      <c r="B105" s="14">
        <v>379.14</v>
      </c>
    </row>
    <row r="106" spans="1:2" x14ac:dyDescent="0.3">
      <c r="A106" s="17">
        <v>45457</v>
      </c>
      <c r="B106" s="14">
        <v>126.38</v>
      </c>
    </row>
    <row r="107" spans="1:2" x14ac:dyDescent="0.3">
      <c r="A107" s="17">
        <v>45458</v>
      </c>
      <c r="B107" s="14">
        <v>262.56</v>
      </c>
    </row>
    <row r="108" spans="1:2" x14ac:dyDescent="0.3">
      <c r="A108" s="17">
        <v>45459</v>
      </c>
      <c r="B108" s="14">
        <v>408.53999999999996</v>
      </c>
    </row>
    <row r="109" spans="1:2" x14ac:dyDescent="0.3">
      <c r="A109" s="17">
        <v>45460</v>
      </c>
      <c r="B109" s="14">
        <v>323.3</v>
      </c>
    </row>
    <row r="110" spans="1:2" x14ac:dyDescent="0.3">
      <c r="A110" s="17">
        <v>45461</v>
      </c>
      <c r="B110" s="14">
        <v>234.64</v>
      </c>
    </row>
    <row r="111" spans="1:2" x14ac:dyDescent="0.3">
      <c r="A111" s="17">
        <v>45462</v>
      </c>
      <c r="B111" s="14">
        <v>380.61999999999995</v>
      </c>
    </row>
    <row r="112" spans="1:2" x14ac:dyDescent="0.3">
      <c r="A112" s="17">
        <v>45463</v>
      </c>
      <c r="B112" s="14">
        <v>221.42</v>
      </c>
    </row>
    <row r="113" spans="1:2" x14ac:dyDescent="0.3">
      <c r="A113" s="17">
        <v>45464</v>
      </c>
      <c r="B113" s="14">
        <v>403.6400000000001</v>
      </c>
    </row>
    <row r="114" spans="1:2" x14ac:dyDescent="0.3">
      <c r="A114" s="17">
        <v>45465</v>
      </c>
      <c r="B114" s="14">
        <v>169</v>
      </c>
    </row>
    <row r="115" spans="1:2" x14ac:dyDescent="0.3">
      <c r="A115" s="17">
        <v>45466</v>
      </c>
      <c r="B115" s="14">
        <v>178.79999999999998</v>
      </c>
    </row>
    <row r="116" spans="1:2" x14ac:dyDescent="0.3">
      <c r="A116" s="17">
        <v>45467</v>
      </c>
      <c r="B116" s="14">
        <v>221.42</v>
      </c>
    </row>
    <row r="117" spans="1:2" x14ac:dyDescent="0.3">
      <c r="A117" s="17">
        <v>45468</v>
      </c>
      <c r="B117" s="14">
        <v>141.07999999999998</v>
      </c>
    </row>
    <row r="118" spans="1:2" x14ac:dyDescent="0.3">
      <c r="A118" s="17">
        <v>45469</v>
      </c>
      <c r="B118" s="14">
        <v>196.92</v>
      </c>
    </row>
    <row r="119" spans="1:2" x14ac:dyDescent="0.3">
      <c r="A119" s="17">
        <v>45470</v>
      </c>
      <c r="B119" s="14">
        <v>131.28</v>
      </c>
    </row>
    <row r="120" spans="1:2" x14ac:dyDescent="0.3">
      <c r="A120" s="17">
        <v>45471</v>
      </c>
      <c r="B120" s="14">
        <v>159.19999999999999</v>
      </c>
    </row>
    <row r="121" spans="1:2" x14ac:dyDescent="0.3">
      <c r="A121" s="17">
        <v>45472</v>
      </c>
      <c r="B121" s="14">
        <v>287.06</v>
      </c>
    </row>
    <row r="122" spans="1:2" x14ac:dyDescent="0.3">
      <c r="A122" s="17">
        <v>45473</v>
      </c>
      <c r="B122" s="14">
        <v>131.28</v>
      </c>
    </row>
    <row r="123" spans="1:2" x14ac:dyDescent="0.3">
      <c r="A123" s="17">
        <v>45474</v>
      </c>
      <c r="B123" s="14">
        <v>98.46</v>
      </c>
    </row>
    <row r="124" spans="1:2" x14ac:dyDescent="0.3">
      <c r="A124" s="17">
        <v>45475</v>
      </c>
      <c r="B124" s="14">
        <v>192.02</v>
      </c>
    </row>
    <row r="125" spans="1:2" x14ac:dyDescent="0.3">
      <c r="A125" s="17">
        <v>45476</v>
      </c>
      <c r="B125" s="14">
        <v>310.08000000000004</v>
      </c>
    </row>
    <row r="126" spans="1:2" x14ac:dyDescent="0.3">
      <c r="A126" s="17">
        <v>45477</v>
      </c>
      <c r="B126" s="14">
        <v>60.74</v>
      </c>
    </row>
    <row r="127" spans="1:2" x14ac:dyDescent="0.3">
      <c r="A127" s="17">
        <v>45478</v>
      </c>
      <c r="B127" s="14">
        <v>303.7</v>
      </c>
    </row>
    <row r="128" spans="1:2" x14ac:dyDescent="0.3">
      <c r="A128" s="17">
        <v>45479</v>
      </c>
      <c r="B128" s="14">
        <v>164.09999999999997</v>
      </c>
    </row>
    <row r="129" spans="1:2" x14ac:dyDescent="0.3">
      <c r="A129" s="17">
        <v>45480</v>
      </c>
      <c r="B129" s="14">
        <v>346.32</v>
      </c>
    </row>
    <row r="130" spans="1:2" x14ac:dyDescent="0.3">
      <c r="A130" s="17">
        <v>45481</v>
      </c>
      <c r="B130" s="14">
        <v>139.6</v>
      </c>
    </row>
    <row r="131" spans="1:2" x14ac:dyDescent="0.3">
      <c r="A131" s="17">
        <v>45482</v>
      </c>
      <c r="B131" s="14">
        <v>144.5</v>
      </c>
    </row>
    <row r="132" spans="1:2" x14ac:dyDescent="0.3">
      <c r="A132" s="17">
        <v>45483</v>
      </c>
      <c r="B132" s="14">
        <v>83.759999999999991</v>
      </c>
    </row>
    <row r="133" spans="1:2" x14ac:dyDescent="0.3">
      <c r="A133" s="17">
        <v>45484</v>
      </c>
      <c r="B133" s="14">
        <v>116.58</v>
      </c>
    </row>
    <row r="134" spans="1:2" x14ac:dyDescent="0.3">
      <c r="A134" s="17">
        <v>45485</v>
      </c>
      <c r="B134" s="14">
        <v>154.29999999999998</v>
      </c>
    </row>
    <row r="135" spans="1:2" x14ac:dyDescent="0.3">
      <c r="A135" s="17">
        <v>45486</v>
      </c>
      <c r="B135" s="14">
        <v>65.64</v>
      </c>
    </row>
    <row r="136" spans="1:2" x14ac:dyDescent="0.3">
      <c r="A136" s="17">
        <v>45487</v>
      </c>
      <c r="B136" s="14">
        <v>172.42</v>
      </c>
    </row>
    <row r="137" spans="1:2" x14ac:dyDescent="0.3">
      <c r="A137" s="17">
        <v>45488</v>
      </c>
      <c r="B137" s="14">
        <v>32.82</v>
      </c>
    </row>
    <row r="138" spans="1:2" x14ac:dyDescent="0.3">
      <c r="A138" s="17">
        <v>45489</v>
      </c>
      <c r="B138" s="14">
        <v>60.74</v>
      </c>
    </row>
    <row r="139" spans="1:2" x14ac:dyDescent="0.3">
      <c r="A139" s="17">
        <v>45490</v>
      </c>
      <c r="B139" s="14">
        <v>27.92</v>
      </c>
    </row>
    <row r="140" spans="1:2" x14ac:dyDescent="0.3">
      <c r="A140" s="17">
        <v>45491</v>
      </c>
      <c r="B140" s="14">
        <v>312.02</v>
      </c>
    </row>
    <row r="141" spans="1:2" x14ac:dyDescent="0.3">
      <c r="A141" s="17">
        <v>45492</v>
      </c>
      <c r="B141" s="14">
        <v>242.95999999999998</v>
      </c>
    </row>
    <row r="142" spans="1:2" x14ac:dyDescent="0.3">
      <c r="A142" s="17">
        <v>45493</v>
      </c>
      <c r="B142" s="14">
        <v>200.34</v>
      </c>
    </row>
    <row r="143" spans="1:2" x14ac:dyDescent="0.3">
      <c r="A143" s="17">
        <v>45494</v>
      </c>
      <c r="B143" s="14">
        <v>121.47999999999999</v>
      </c>
    </row>
    <row r="144" spans="1:2" x14ac:dyDescent="0.3">
      <c r="A144" s="17">
        <v>45495</v>
      </c>
      <c r="B144" s="14">
        <v>106.78</v>
      </c>
    </row>
    <row r="145" spans="1:2" x14ac:dyDescent="0.3">
      <c r="A145" s="17">
        <v>45496</v>
      </c>
      <c r="B145" s="14">
        <v>339.94</v>
      </c>
    </row>
    <row r="146" spans="1:2" x14ac:dyDescent="0.3">
      <c r="A146" s="17">
        <v>45497</v>
      </c>
      <c r="B146" s="14">
        <v>330.14</v>
      </c>
    </row>
    <row r="147" spans="1:2" x14ac:dyDescent="0.3">
      <c r="A147" s="17">
        <v>45498</v>
      </c>
      <c r="B147" s="14">
        <v>269.40000000000003</v>
      </c>
    </row>
    <row r="148" spans="1:2" x14ac:dyDescent="0.3">
      <c r="A148" s="17">
        <v>45499</v>
      </c>
      <c r="B148" s="14">
        <v>461.41999999999996</v>
      </c>
    </row>
    <row r="149" spans="1:2" x14ac:dyDescent="0.3">
      <c r="A149" s="17">
        <v>45500</v>
      </c>
      <c r="B149" s="14">
        <v>372.76</v>
      </c>
    </row>
    <row r="150" spans="1:2" x14ac:dyDescent="0.3">
      <c r="A150" s="17">
        <v>45501</v>
      </c>
      <c r="B150" s="14">
        <v>78.860000000000014</v>
      </c>
    </row>
    <row r="151" spans="1:2" x14ac:dyDescent="0.3">
      <c r="A151" s="17">
        <v>45502</v>
      </c>
      <c r="B151" s="14">
        <v>321.81999999999994</v>
      </c>
    </row>
    <row r="152" spans="1:2" x14ac:dyDescent="0.3">
      <c r="A152" s="17">
        <v>45503</v>
      </c>
      <c r="B152" s="14">
        <v>650.48000000000013</v>
      </c>
    </row>
    <row r="153" spans="1:2" x14ac:dyDescent="0.3">
      <c r="A153" s="17">
        <v>45504</v>
      </c>
      <c r="B153" s="14">
        <v>633.84</v>
      </c>
    </row>
    <row r="154" spans="1:2" x14ac:dyDescent="0.3">
      <c r="A154" s="17" t="s">
        <v>465</v>
      </c>
      <c r="B154" s="14">
        <v>37508.879999999976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20"/>
  <sheetViews>
    <sheetView workbookViewId="0">
      <selection activeCell="D4" sqref="D4:E19"/>
    </sheetView>
  </sheetViews>
  <sheetFormatPr defaultRowHeight="14.4" x14ac:dyDescent="0.3"/>
  <cols>
    <col min="1" max="1" width="12.5546875" customWidth="1"/>
    <col min="2" max="2" width="13.44140625" customWidth="1"/>
  </cols>
  <sheetData>
    <row r="3" spans="1:5" x14ac:dyDescent="0.3">
      <c r="A3" s="15" t="s">
        <v>464</v>
      </c>
      <c r="B3" t="s">
        <v>466</v>
      </c>
    </row>
    <row r="4" spans="1:5" x14ac:dyDescent="0.3">
      <c r="A4" s="16">
        <v>7</v>
      </c>
      <c r="B4" s="14">
        <v>392.8</v>
      </c>
      <c r="D4" s="4">
        <f>A4</f>
        <v>7</v>
      </c>
      <c r="E4">
        <f>B4</f>
        <v>392.8</v>
      </c>
    </row>
    <row r="5" spans="1:5" x14ac:dyDescent="0.3">
      <c r="A5" s="16">
        <v>8</v>
      </c>
      <c r="B5" s="14">
        <v>1380.3799999999999</v>
      </c>
      <c r="D5" s="4">
        <f t="shared" ref="D5:D19" si="0">A5</f>
        <v>8</v>
      </c>
      <c r="E5">
        <f t="shared" ref="E5:E19" si="1">B5</f>
        <v>1380.3799999999999</v>
      </c>
    </row>
    <row r="6" spans="1:5" x14ac:dyDescent="0.3">
      <c r="A6" s="16">
        <v>9</v>
      </c>
      <c r="B6" s="14">
        <v>1515.4800000000005</v>
      </c>
      <c r="D6" s="4">
        <f t="shared" si="0"/>
        <v>9</v>
      </c>
      <c r="E6">
        <f t="shared" si="1"/>
        <v>1515.4800000000005</v>
      </c>
    </row>
    <row r="7" spans="1:5" x14ac:dyDescent="0.3">
      <c r="A7" s="16">
        <v>10</v>
      </c>
      <c r="B7" s="14">
        <v>4553.1799999999985</v>
      </c>
      <c r="D7" s="4">
        <f t="shared" si="0"/>
        <v>10</v>
      </c>
      <c r="E7">
        <f t="shared" si="1"/>
        <v>4553.1799999999985</v>
      </c>
    </row>
    <row r="8" spans="1:5" x14ac:dyDescent="0.3">
      <c r="A8" s="16">
        <v>11</v>
      </c>
      <c r="B8" s="14">
        <v>3258.64</v>
      </c>
      <c r="D8" s="4">
        <f t="shared" si="0"/>
        <v>11</v>
      </c>
      <c r="E8">
        <f t="shared" si="1"/>
        <v>3258.64</v>
      </c>
    </row>
    <row r="9" spans="1:5" x14ac:dyDescent="0.3">
      <c r="A9" s="16">
        <v>12</v>
      </c>
      <c r="B9" s="14">
        <v>2850.6</v>
      </c>
      <c r="D9" s="4">
        <f t="shared" si="0"/>
        <v>12</v>
      </c>
      <c r="E9">
        <f t="shared" si="1"/>
        <v>2850.6</v>
      </c>
    </row>
    <row r="10" spans="1:5" x14ac:dyDescent="0.3">
      <c r="A10" s="16">
        <v>13</v>
      </c>
      <c r="B10" s="14">
        <v>2511.6000000000031</v>
      </c>
      <c r="D10" s="4">
        <f t="shared" si="0"/>
        <v>13</v>
      </c>
      <c r="E10">
        <f t="shared" si="1"/>
        <v>2511.6000000000031</v>
      </c>
    </row>
    <row r="11" spans="1:5" x14ac:dyDescent="0.3">
      <c r="A11" s="16">
        <v>14</v>
      </c>
      <c r="B11" s="14">
        <v>2484.920000000001</v>
      </c>
      <c r="D11" s="4">
        <f t="shared" si="0"/>
        <v>14</v>
      </c>
      <c r="E11">
        <f t="shared" si="1"/>
        <v>2484.920000000001</v>
      </c>
    </row>
    <row r="12" spans="1:5" x14ac:dyDescent="0.3">
      <c r="A12" s="16">
        <v>15</v>
      </c>
      <c r="B12" s="14">
        <v>2158.7600000000007</v>
      </c>
      <c r="D12" s="4">
        <f t="shared" si="0"/>
        <v>15</v>
      </c>
      <c r="E12">
        <f t="shared" si="1"/>
        <v>2158.7600000000007</v>
      </c>
    </row>
    <row r="13" spans="1:5" x14ac:dyDescent="0.3">
      <c r="A13" s="16">
        <v>16</v>
      </c>
      <c r="B13" s="14">
        <v>2525.3600000000015</v>
      </c>
      <c r="D13" s="4">
        <f t="shared" si="0"/>
        <v>16</v>
      </c>
      <c r="E13">
        <f t="shared" si="1"/>
        <v>2525.3600000000015</v>
      </c>
    </row>
    <row r="14" spans="1:5" x14ac:dyDescent="0.3">
      <c r="A14" s="16">
        <v>17</v>
      </c>
      <c r="B14" s="14">
        <v>2639.0800000000013</v>
      </c>
      <c r="D14" s="4">
        <f t="shared" si="0"/>
        <v>17</v>
      </c>
      <c r="E14">
        <f t="shared" si="1"/>
        <v>2639.0800000000013</v>
      </c>
    </row>
    <row r="15" spans="1:5" x14ac:dyDescent="0.3">
      <c r="A15" s="16">
        <v>18</v>
      </c>
      <c r="B15" s="14">
        <v>2558.0400000000004</v>
      </c>
      <c r="D15" s="4">
        <f t="shared" si="0"/>
        <v>18</v>
      </c>
      <c r="E15">
        <f t="shared" si="1"/>
        <v>2558.0400000000004</v>
      </c>
    </row>
    <row r="16" spans="1:5" x14ac:dyDescent="0.3">
      <c r="A16" s="16">
        <v>19</v>
      </c>
      <c r="B16" s="14">
        <v>3388.3199999999988</v>
      </c>
      <c r="D16" s="4">
        <f t="shared" si="0"/>
        <v>19</v>
      </c>
      <c r="E16">
        <f t="shared" si="1"/>
        <v>3388.3199999999988</v>
      </c>
    </row>
    <row r="17" spans="1:5" x14ac:dyDescent="0.3">
      <c r="A17" s="16">
        <v>20</v>
      </c>
      <c r="B17" s="14">
        <v>1819.9200000000003</v>
      </c>
      <c r="D17" s="4">
        <f t="shared" si="0"/>
        <v>20</v>
      </c>
      <c r="E17">
        <f t="shared" si="1"/>
        <v>1819.9200000000003</v>
      </c>
    </row>
    <row r="18" spans="1:5" x14ac:dyDescent="0.3">
      <c r="A18" s="16">
        <v>21</v>
      </c>
      <c r="B18" s="14">
        <v>2343.86</v>
      </c>
      <c r="D18" s="4">
        <f t="shared" si="0"/>
        <v>21</v>
      </c>
      <c r="E18">
        <f t="shared" si="1"/>
        <v>2343.86</v>
      </c>
    </row>
    <row r="19" spans="1:5" x14ac:dyDescent="0.3">
      <c r="A19" s="16">
        <v>22</v>
      </c>
      <c r="B19" s="14">
        <v>1127.9400000000003</v>
      </c>
      <c r="D19" s="4">
        <f t="shared" si="0"/>
        <v>22</v>
      </c>
      <c r="E19">
        <f t="shared" si="1"/>
        <v>1127.9400000000003</v>
      </c>
    </row>
    <row r="20" spans="1:5" x14ac:dyDescent="0.3">
      <c r="A20" s="16" t="s">
        <v>465</v>
      </c>
      <c r="B20" s="14">
        <v>37508.880000000012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0"/>
  <sheetViews>
    <sheetView workbookViewId="0">
      <selection activeCell="B11" sqref="B11"/>
    </sheetView>
  </sheetViews>
  <sheetFormatPr defaultRowHeight="14.4" x14ac:dyDescent="0.3"/>
  <cols>
    <col min="1" max="1" width="4.6640625" customWidth="1"/>
    <col min="2" max="2" width="6.33203125" customWidth="1"/>
  </cols>
  <sheetData>
    <row r="3" spans="1:3" x14ac:dyDescent="0.3">
      <c r="A3" s="5"/>
      <c r="B3" s="6"/>
      <c r="C3" s="7"/>
    </row>
    <row r="4" spans="1:3" x14ac:dyDescent="0.3">
      <c r="A4" s="8"/>
      <c r="B4" s="9"/>
      <c r="C4" s="10"/>
    </row>
    <row r="5" spans="1:3" x14ac:dyDescent="0.3">
      <c r="A5" s="8"/>
      <c r="B5" s="9"/>
      <c r="C5" s="10"/>
    </row>
    <row r="6" spans="1:3" x14ac:dyDescent="0.3">
      <c r="A6" s="8"/>
      <c r="B6" s="9"/>
      <c r="C6" s="10"/>
    </row>
    <row r="7" spans="1:3" x14ac:dyDescent="0.3">
      <c r="A7" s="8"/>
      <c r="B7" s="9"/>
      <c r="C7" s="10"/>
    </row>
    <row r="8" spans="1:3" x14ac:dyDescent="0.3">
      <c r="A8" s="8"/>
      <c r="B8" s="9"/>
      <c r="C8" s="10"/>
    </row>
    <row r="9" spans="1:3" x14ac:dyDescent="0.3">
      <c r="A9" s="8"/>
      <c r="B9" s="9"/>
      <c r="C9" s="10"/>
    </row>
    <row r="10" spans="1:3" x14ac:dyDescent="0.3">
      <c r="A10" s="8"/>
      <c r="B10" s="9"/>
      <c r="C10" s="10"/>
    </row>
    <row r="11" spans="1:3" x14ac:dyDescent="0.3">
      <c r="A11" s="8"/>
      <c r="B11" s="9"/>
      <c r="C11" s="10"/>
    </row>
    <row r="12" spans="1:3" x14ac:dyDescent="0.3">
      <c r="A12" s="8"/>
      <c r="B12" s="9"/>
      <c r="C12" s="10"/>
    </row>
    <row r="13" spans="1:3" x14ac:dyDescent="0.3">
      <c r="A13" s="8"/>
      <c r="B13" s="9"/>
      <c r="C13" s="10"/>
    </row>
    <row r="14" spans="1:3" x14ac:dyDescent="0.3">
      <c r="A14" s="8"/>
      <c r="B14" s="9"/>
      <c r="C14" s="10"/>
    </row>
    <row r="15" spans="1:3" x14ac:dyDescent="0.3">
      <c r="A15" s="8"/>
      <c r="B15" s="9"/>
      <c r="C15" s="10"/>
    </row>
    <row r="16" spans="1:3" x14ac:dyDescent="0.3">
      <c r="A16" s="8"/>
      <c r="B16" s="9"/>
      <c r="C16" s="10"/>
    </row>
    <row r="17" spans="1:3" x14ac:dyDescent="0.3">
      <c r="A17" s="8"/>
      <c r="B17" s="9"/>
      <c r="C17" s="10"/>
    </row>
    <row r="18" spans="1:3" x14ac:dyDescent="0.3">
      <c r="A18" s="8"/>
      <c r="B18" s="9"/>
      <c r="C18" s="10"/>
    </row>
    <row r="19" spans="1:3" x14ac:dyDescent="0.3">
      <c r="A19" s="8"/>
      <c r="B19" s="9"/>
      <c r="C19" s="10"/>
    </row>
    <row r="20" spans="1:3" x14ac:dyDescent="0.3">
      <c r="A20" s="11"/>
      <c r="B20" s="12"/>
      <c r="C20"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54"/>
  <sheetViews>
    <sheetView workbookViewId="0">
      <selection activeCell="B3" sqref="B3"/>
    </sheetView>
  </sheetViews>
  <sheetFormatPr defaultRowHeight="14.4" x14ac:dyDescent="0.3"/>
  <cols>
    <col min="1" max="1" width="12.5546875" customWidth="1"/>
    <col min="2" max="2" width="13.44140625" customWidth="1"/>
  </cols>
  <sheetData>
    <row r="3" spans="1:2" x14ac:dyDescent="0.3">
      <c r="A3" s="15" t="s">
        <v>464</v>
      </c>
      <c r="B3" t="s">
        <v>466</v>
      </c>
    </row>
    <row r="4" spans="1:2" x14ac:dyDescent="0.3">
      <c r="A4" s="17">
        <v>45352</v>
      </c>
      <c r="B4" s="14">
        <v>396.3</v>
      </c>
    </row>
    <row r="5" spans="1:2" x14ac:dyDescent="0.3">
      <c r="A5" s="17">
        <v>45353</v>
      </c>
      <c r="B5" s="14">
        <v>228.1</v>
      </c>
    </row>
    <row r="6" spans="1:2" x14ac:dyDescent="0.3">
      <c r="A6" s="17">
        <v>45354</v>
      </c>
      <c r="B6" s="14">
        <v>349.09999999999997</v>
      </c>
    </row>
    <row r="7" spans="1:2" x14ac:dyDescent="0.3">
      <c r="A7" s="17">
        <v>45355</v>
      </c>
      <c r="B7" s="14">
        <v>135.19999999999999</v>
      </c>
    </row>
    <row r="8" spans="1:2" x14ac:dyDescent="0.3">
      <c r="A8" s="17">
        <v>45356</v>
      </c>
      <c r="B8" s="14">
        <v>338.49999999999994</v>
      </c>
    </row>
    <row r="9" spans="1:2" x14ac:dyDescent="0.3">
      <c r="A9" s="17">
        <v>45357</v>
      </c>
      <c r="B9" s="14">
        <v>170.2</v>
      </c>
    </row>
    <row r="10" spans="1:2" x14ac:dyDescent="0.3">
      <c r="A10" s="17">
        <v>45358</v>
      </c>
      <c r="B10" s="14">
        <v>220.10000000000002</v>
      </c>
    </row>
    <row r="11" spans="1:2" x14ac:dyDescent="0.3">
      <c r="A11" s="17">
        <v>45359</v>
      </c>
      <c r="B11" s="14">
        <v>265.5</v>
      </c>
    </row>
    <row r="12" spans="1:2" x14ac:dyDescent="0.3">
      <c r="A12" s="17">
        <v>45360</v>
      </c>
      <c r="B12" s="14">
        <v>479.4</v>
      </c>
    </row>
    <row r="13" spans="1:2" x14ac:dyDescent="0.3">
      <c r="A13" s="17">
        <v>45361</v>
      </c>
      <c r="B13" s="14">
        <v>231.6</v>
      </c>
    </row>
    <row r="14" spans="1:2" x14ac:dyDescent="0.3">
      <c r="A14" s="17">
        <v>45362</v>
      </c>
      <c r="B14" s="14">
        <v>275.2</v>
      </c>
    </row>
    <row r="15" spans="1:2" x14ac:dyDescent="0.3">
      <c r="A15" s="17">
        <v>45363</v>
      </c>
      <c r="B15" s="14">
        <v>228.10000000000002</v>
      </c>
    </row>
    <row r="16" spans="1:2" x14ac:dyDescent="0.3">
      <c r="A16" s="17">
        <v>45364</v>
      </c>
      <c r="B16" s="14">
        <v>256.2</v>
      </c>
    </row>
    <row r="17" spans="1:2" x14ac:dyDescent="0.3">
      <c r="A17" s="17">
        <v>45365</v>
      </c>
      <c r="B17" s="14">
        <v>397.09999999999997</v>
      </c>
    </row>
    <row r="18" spans="1:2" x14ac:dyDescent="0.3">
      <c r="A18" s="17">
        <v>45366</v>
      </c>
      <c r="B18" s="14">
        <v>107.6</v>
      </c>
    </row>
    <row r="19" spans="1:2" x14ac:dyDescent="0.3">
      <c r="A19" s="17">
        <v>45367</v>
      </c>
      <c r="B19" s="14">
        <v>183.2</v>
      </c>
    </row>
    <row r="20" spans="1:2" x14ac:dyDescent="0.3">
      <c r="A20" s="17">
        <v>45368</v>
      </c>
      <c r="B20" s="14">
        <v>68.900000000000006</v>
      </c>
    </row>
    <row r="21" spans="1:2" x14ac:dyDescent="0.3">
      <c r="A21" s="17">
        <v>45369</v>
      </c>
      <c r="B21" s="14">
        <v>115.6</v>
      </c>
    </row>
    <row r="22" spans="1:2" x14ac:dyDescent="0.3">
      <c r="A22" s="17">
        <v>45370</v>
      </c>
      <c r="B22" s="14">
        <v>219.90000000000003</v>
      </c>
    </row>
    <row r="23" spans="1:2" x14ac:dyDescent="0.3">
      <c r="A23" s="17">
        <v>45371</v>
      </c>
      <c r="B23" s="14">
        <v>213.89999999999998</v>
      </c>
    </row>
    <row r="24" spans="1:2" x14ac:dyDescent="0.3">
      <c r="A24" s="17">
        <v>45372</v>
      </c>
      <c r="B24" s="14">
        <v>205.20000000000005</v>
      </c>
    </row>
    <row r="25" spans="1:2" x14ac:dyDescent="0.3">
      <c r="A25" s="17">
        <v>45373</v>
      </c>
      <c r="B25" s="14">
        <v>189.4</v>
      </c>
    </row>
    <row r="26" spans="1:2" x14ac:dyDescent="0.3">
      <c r="A26" s="17">
        <v>45374</v>
      </c>
      <c r="B26" s="14">
        <v>285.09999999999997</v>
      </c>
    </row>
    <row r="27" spans="1:2" x14ac:dyDescent="0.3">
      <c r="A27" s="17">
        <v>45375</v>
      </c>
      <c r="B27" s="14">
        <v>78.7</v>
      </c>
    </row>
    <row r="28" spans="1:2" x14ac:dyDescent="0.3">
      <c r="A28" s="17">
        <v>45376</v>
      </c>
      <c r="B28" s="14">
        <v>223.60000000000002</v>
      </c>
    </row>
    <row r="29" spans="1:2" x14ac:dyDescent="0.3">
      <c r="A29" s="17">
        <v>45377</v>
      </c>
      <c r="B29" s="14">
        <v>376.7</v>
      </c>
    </row>
    <row r="30" spans="1:2" x14ac:dyDescent="0.3">
      <c r="A30" s="17">
        <v>45378</v>
      </c>
      <c r="B30" s="14">
        <v>271.7</v>
      </c>
    </row>
    <row r="31" spans="1:2" x14ac:dyDescent="0.3">
      <c r="A31" s="17">
        <v>45379</v>
      </c>
      <c r="B31" s="14">
        <v>125.39999999999999</v>
      </c>
    </row>
    <row r="32" spans="1:2" x14ac:dyDescent="0.3">
      <c r="A32" s="17">
        <v>45380</v>
      </c>
      <c r="B32" s="14">
        <v>156.10000000000002</v>
      </c>
    </row>
    <row r="33" spans="1:2" x14ac:dyDescent="0.3">
      <c r="A33" s="17">
        <v>45381</v>
      </c>
      <c r="B33" s="14">
        <v>189.90000000000003</v>
      </c>
    </row>
    <row r="34" spans="1:2" x14ac:dyDescent="0.3">
      <c r="A34" s="17">
        <v>45382</v>
      </c>
      <c r="B34" s="14">
        <v>68.7</v>
      </c>
    </row>
    <row r="35" spans="1:2" x14ac:dyDescent="0.3">
      <c r="A35" s="17">
        <v>45383</v>
      </c>
      <c r="B35" s="14">
        <v>242.8</v>
      </c>
    </row>
    <row r="36" spans="1:2" x14ac:dyDescent="0.3">
      <c r="A36" s="17">
        <v>45384</v>
      </c>
      <c r="B36" s="14">
        <v>136.5</v>
      </c>
    </row>
    <row r="37" spans="1:2" x14ac:dyDescent="0.3">
      <c r="A37" s="17">
        <v>45385</v>
      </c>
      <c r="B37" s="14">
        <v>126.5</v>
      </c>
    </row>
    <row r="38" spans="1:2" x14ac:dyDescent="0.3">
      <c r="A38" s="17">
        <v>45386</v>
      </c>
      <c r="B38" s="14">
        <v>185</v>
      </c>
    </row>
    <row r="39" spans="1:2" x14ac:dyDescent="0.3">
      <c r="A39" s="17">
        <v>45387</v>
      </c>
      <c r="B39" s="14">
        <v>362.1</v>
      </c>
    </row>
    <row r="40" spans="1:2" x14ac:dyDescent="0.3">
      <c r="A40" s="17">
        <v>45388</v>
      </c>
      <c r="B40" s="14">
        <v>140.10000000000002</v>
      </c>
    </row>
    <row r="41" spans="1:2" x14ac:dyDescent="0.3">
      <c r="A41" s="17">
        <v>45389</v>
      </c>
      <c r="B41" s="14">
        <v>241.5</v>
      </c>
    </row>
    <row r="42" spans="1:2" x14ac:dyDescent="0.3">
      <c r="A42" s="17">
        <v>45390</v>
      </c>
      <c r="B42" s="14">
        <v>340.2</v>
      </c>
    </row>
    <row r="43" spans="1:2" x14ac:dyDescent="0.3">
      <c r="A43" s="17">
        <v>45391</v>
      </c>
      <c r="B43" s="14">
        <v>186.10000000000002</v>
      </c>
    </row>
    <row r="44" spans="1:2" x14ac:dyDescent="0.3">
      <c r="A44" s="17">
        <v>45392</v>
      </c>
      <c r="B44" s="14">
        <v>166.4</v>
      </c>
    </row>
    <row r="45" spans="1:2" x14ac:dyDescent="0.3">
      <c r="A45" s="17">
        <v>45393</v>
      </c>
      <c r="B45" s="14">
        <v>169</v>
      </c>
    </row>
    <row r="46" spans="1:2" x14ac:dyDescent="0.3">
      <c r="A46" s="17">
        <v>45394</v>
      </c>
      <c r="B46" s="14">
        <v>67.599999999999994</v>
      </c>
    </row>
    <row r="47" spans="1:2" x14ac:dyDescent="0.3">
      <c r="A47" s="17">
        <v>45395</v>
      </c>
      <c r="B47" s="14">
        <v>302.39999999999998</v>
      </c>
    </row>
    <row r="48" spans="1:2" x14ac:dyDescent="0.3">
      <c r="A48" s="17">
        <v>45396</v>
      </c>
      <c r="B48" s="14">
        <v>434.2999999999999</v>
      </c>
    </row>
    <row r="49" spans="1:2" x14ac:dyDescent="0.3">
      <c r="A49" s="17">
        <v>45397</v>
      </c>
      <c r="B49" s="14">
        <v>150.39999999999998</v>
      </c>
    </row>
    <row r="50" spans="1:2" x14ac:dyDescent="0.3">
      <c r="A50" s="17">
        <v>45398</v>
      </c>
      <c r="B50" s="14">
        <v>276.5</v>
      </c>
    </row>
    <row r="51" spans="1:2" x14ac:dyDescent="0.3">
      <c r="A51" s="17">
        <v>45399</v>
      </c>
      <c r="B51" s="14">
        <v>199.20000000000002</v>
      </c>
    </row>
    <row r="52" spans="1:2" x14ac:dyDescent="0.3">
      <c r="A52" s="17">
        <v>45400</v>
      </c>
      <c r="B52" s="14">
        <v>352.69999999999993</v>
      </c>
    </row>
    <row r="53" spans="1:2" x14ac:dyDescent="0.3">
      <c r="A53" s="17">
        <v>45401</v>
      </c>
      <c r="B53" s="14">
        <v>261.10000000000002</v>
      </c>
    </row>
    <row r="54" spans="1:2" x14ac:dyDescent="0.3">
      <c r="A54" s="17">
        <v>45402</v>
      </c>
      <c r="B54" s="14">
        <v>494.30000000000007</v>
      </c>
    </row>
    <row r="55" spans="1:2" x14ac:dyDescent="0.3">
      <c r="A55" s="17">
        <v>45403</v>
      </c>
      <c r="B55" s="14">
        <v>104.64</v>
      </c>
    </row>
    <row r="56" spans="1:2" x14ac:dyDescent="0.3">
      <c r="A56" s="17">
        <v>45404</v>
      </c>
      <c r="B56" s="14">
        <v>176.46</v>
      </c>
    </row>
    <row r="57" spans="1:2" x14ac:dyDescent="0.3">
      <c r="A57" s="17">
        <v>45405</v>
      </c>
      <c r="B57" s="14">
        <v>173.89999999999998</v>
      </c>
    </row>
    <row r="58" spans="1:2" x14ac:dyDescent="0.3">
      <c r="A58" s="17">
        <v>45406</v>
      </c>
      <c r="B58" s="14">
        <v>272.35999999999996</v>
      </c>
    </row>
    <row r="59" spans="1:2" x14ac:dyDescent="0.3">
      <c r="A59" s="17">
        <v>45407</v>
      </c>
      <c r="B59" s="14">
        <v>121.48</v>
      </c>
    </row>
    <row r="60" spans="1:2" x14ac:dyDescent="0.3">
      <c r="A60" s="17">
        <v>45408</v>
      </c>
      <c r="B60" s="14">
        <v>300.28000000000009</v>
      </c>
    </row>
    <row r="61" spans="1:2" x14ac:dyDescent="0.3">
      <c r="A61" s="17">
        <v>45409</v>
      </c>
      <c r="B61" s="14">
        <v>37.72</v>
      </c>
    </row>
    <row r="62" spans="1:2" x14ac:dyDescent="0.3">
      <c r="A62" s="17">
        <v>45410</v>
      </c>
      <c r="B62" s="14">
        <v>169</v>
      </c>
    </row>
    <row r="63" spans="1:2" x14ac:dyDescent="0.3">
      <c r="A63" s="17">
        <v>45411</v>
      </c>
      <c r="B63" s="14">
        <v>257.65999999999997</v>
      </c>
    </row>
    <row r="64" spans="1:2" x14ac:dyDescent="0.3">
      <c r="A64" s="17">
        <v>45412</v>
      </c>
      <c r="B64" s="14">
        <v>272.35999999999996</v>
      </c>
    </row>
    <row r="65" spans="1:2" x14ac:dyDescent="0.3">
      <c r="A65" s="17">
        <v>45414</v>
      </c>
      <c r="B65" s="14">
        <v>245.72</v>
      </c>
    </row>
    <row r="66" spans="1:2" x14ac:dyDescent="0.3">
      <c r="A66" s="17">
        <v>45415</v>
      </c>
      <c r="B66" s="14">
        <v>114.44</v>
      </c>
    </row>
    <row r="67" spans="1:2" x14ac:dyDescent="0.3">
      <c r="A67" s="17">
        <v>45418</v>
      </c>
      <c r="B67" s="14">
        <v>314.58000000000004</v>
      </c>
    </row>
    <row r="68" spans="1:2" x14ac:dyDescent="0.3">
      <c r="A68" s="17">
        <v>45419</v>
      </c>
      <c r="B68" s="14">
        <v>344.08000000000004</v>
      </c>
    </row>
    <row r="69" spans="1:2" x14ac:dyDescent="0.3">
      <c r="A69" s="17">
        <v>45420</v>
      </c>
      <c r="B69" s="14">
        <v>37.72</v>
      </c>
    </row>
    <row r="70" spans="1:2" x14ac:dyDescent="0.3">
      <c r="A70" s="17">
        <v>45421</v>
      </c>
      <c r="B70" s="14">
        <v>295.38</v>
      </c>
    </row>
    <row r="71" spans="1:2" x14ac:dyDescent="0.3">
      <c r="A71" s="17">
        <v>45422</v>
      </c>
      <c r="B71" s="14">
        <v>148.44</v>
      </c>
    </row>
    <row r="72" spans="1:2" x14ac:dyDescent="0.3">
      <c r="A72" s="17">
        <v>45423</v>
      </c>
      <c r="B72" s="14">
        <v>293.24</v>
      </c>
    </row>
    <row r="73" spans="1:2" x14ac:dyDescent="0.3">
      <c r="A73" s="17">
        <v>45424</v>
      </c>
      <c r="B73" s="14">
        <v>272.35999999999996</v>
      </c>
    </row>
    <row r="74" spans="1:2" x14ac:dyDescent="0.3">
      <c r="A74" s="17">
        <v>45425</v>
      </c>
      <c r="B74" s="14">
        <v>90.82</v>
      </c>
    </row>
    <row r="75" spans="1:2" x14ac:dyDescent="0.3">
      <c r="A75" s="17">
        <v>45426</v>
      </c>
      <c r="B75" s="14">
        <v>403.64</v>
      </c>
    </row>
    <row r="76" spans="1:2" x14ac:dyDescent="0.3">
      <c r="A76" s="17">
        <v>45427</v>
      </c>
      <c r="B76" s="14">
        <v>350.82000000000005</v>
      </c>
    </row>
    <row r="77" spans="1:2" x14ac:dyDescent="0.3">
      <c r="A77" s="17">
        <v>45428</v>
      </c>
      <c r="B77" s="14">
        <v>327.34000000000003</v>
      </c>
    </row>
    <row r="78" spans="1:2" x14ac:dyDescent="0.3">
      <c r="A78" s="17">
        <v>45429</v>
      </c>
      <c r="B78" s="14">
        <v>306.36</v>
      </c>
    </row>
    <row r="79" spans="1:2" x14ac:dyDescent="0.3">
      <c r="A79" s="17">
        <v>45430</v>
      </c>
      <c r="B79" s="14">
        <v>283.43999999999994</v>
      </c>
    </row>
    <row r="80" spans="1:2" x14ac:dyDescent="0.3">
      <c r="A80" s="17">
        <v>45431</v>
      </c>
      <c r="B80" s="14">
        <v>417.84000000000003</v>
      </c>
    </row>
    <row r="81" spans="1:2" x14ac:dyDescent="0.3">
      <c r="A81" s="17">
        <v>45432</v>
      </c>
      <c r="B81" s="14">
        <v>559.0200000000001</v>
      </c>
    </row>
    <row r="82" spans="1:2" x14ac:dyDescent="0.3">
      <c r="A82" s="17">
        <v>45433</v>
      </c>
      <c r="B82" s="14">
        <v>314.89999999999998</v>
      </c>
    </row>
    <row r="83" spans="1:2" x14ac:dyDescent="0.3">
      <c r="A83" s="17">
        <v>45434</v>
      </c>
      <c r="B83" s="14">
        <v>370.82000000000005</v>
      </c>
    </row>
    <row r="84" spans="1:2" x14ac:dyDescent="0.3">
      <c r="A84" s="17">
        <v>45435</v>
      </c>
      <c r="B84" s="14">
        <v>575.4000000000002</v>
      </c>
    </row>
    <row r="85" spans="1:2" x14ac:dyDescent="0.3">
      <c r="A85" s="17">
        <v>45436</v>
      </c>
      <c r="B85" s="14">
        <v>210.14</v>
      </c>
    </row>
    <row r="86" spans="1:2" x14ac:dyDescent="0.3">
      <c r="A86" s="17">
        <v>45437</v>
      </c>
      <c r="B86" s="14">
        <v>254.91999999999996</v>
      </c>
    </row>
    <row r="87" spans="1:2" x14ac:dyDescent="0.3">
      <c r="A87" s="17">
        <v>45438</v>
      </c>
      <c r="B87" s="14">
        <v>526.60000000000014</v>
      </c>
    </row>
    <row r="88" spans="1:2" x14ac:dyDescent="0.3">
      <c r="A88" s="17">
        <v>45439</v>
      </c>
      <c r="B88" s="14">
        <v>365.91999999999996</v>
      </c>
    </row>
    <row r="89" spans="1:2" x14ac:dyDescent="0.3">
      <c r="A89" s="17">
        <v>45440</v>
      </c>
      <c r="B89" s="14">
        <v>372.1</v>
      </c>
    </row>
    <row r="90" spans="1:2" x14ac:dyDescent="0.3">
      <c r="A90" s="17">
        <v>45441</v>
      </c>
      <c r="B90" s="14">
        <v>396.6</v>
      </c>
    </row>
    <row r="91" spans="1:2" x14ac:dyDescent="0.3">
      <c r="A91" s="17">
        <v>45442</v>
      </c>
      <c r="B91" s="14">
        <v>370.82</v>
      </c>
    </row>
    <row r="92" spans="1:2" x14ac:dyDescent="0.3">
      <c r="A92" s="17">
        <v>45443</v>
      </c>
      <c r="B92" s="14">
        <v>499.96000000000004</v>
      </c>
    </row>
    <row r="93" spans="1:2" x14ac:dyDescent="0.3">
      <c r="A93" s="17">
        <v>45444</v>
      </c>
      <c r="B93" s="14">
        <v>386.8</v>
      </c>
    </row>
    <row r="94" spans="1:2" x14ac:dyDescent="0.3">
      <c r="A94" s="17">
        <v>45445</v>
      </c>
      <c r="B94" s="14">
        <v>212.79999999999998</v>
      </c>
    </row>
    <row r="95" spans="1:2" x14ac:dyDescent="0.3">
      <c r="A95" s="17">
        <v>45446</v>
      </c>
      <c r="B95" s="14">
        <v>251.7</v>
      </c>
    </row>
    <row r="96" spans="1:2" x14ac:dyDescent="0.3">
      <c r="A96" s="17">
        <v>45447</v>
      </c>
      <c r="B96" s="14">
        <v>474.18</v>
      </c>
    </row>
    <row r="97" spans="1:2" x14ac:dyDescent="0.3">
      <c r="A97" s="17">
        <v>45448</v>
      </c>
      <c r="B97" s="14">
        <v>310.08</v>
      </c>
    </row>
    <row r="98" spans="1:2" x14ac:dyDescent="0.3">
      <c r="A98" s="17">
        <v>45449</v>
      </c>
      <c r="B98" s="14">
        <v>385.52</v>
      </c>
    </row>
    <row r="99" spans="1:2" x14ac:dyDescent="0.3">
      <c r="A99" s="17">
        <v>45450</v>
      </c>
      <c r="B99" s="14">
        <v>149.4</v>
      </c>
    </row>
    <row r="100" spans="1:2" x14ac:dyDescent="0.3">
      <c r="A100" s="17">
        <v>45451</v>
      </c>
      <c r="B100" s="14">
        <v>136.18</v>
      </c>
    </row>
    <row r="101" spans="1:2" x14ac:dyDescent="0.3">
      <c r="A101" s="17">
        <v>45452</v>
      </c>
      <c r="B101" s="14">
        <v>436.46000000000004</v>
      </c>
    </row>
    <row r="102" spans="1:2" x14ac:dyDescent="0.3">
      <c r="A102" s="17">
        <v>45453</v>
      </c>
      <c r="B102" s="14">
        <v>226.32</v>
      </c>
    </row>
    <row r="103" spans="1:2" x14ac:dyDescent="0.3">
      <c r="A103" s="17">
        <v>45454</v>
      </c>
      <c r="B103" s="14">
        <v>211.61999999999998</v>
      </c>
    </row>
    <row r="104" spans="1:2" x14ac:dyDescent="0.3">
      <c r="A104" s="17">
        <v>45455</v>
      </c>
      <c r="B104" s="14">
        <v>221.42</v>
      </c>
    </row>
    <row r="105" spans="1:2" x14ac:dyDescent="0.3">
      <c r="A105" s="17">
        <v>45456</v>
      </c>
      <c r="B105" s="14">
        <v>379.14</v>
      </c>
    </row>
    <row r="106" spans="1:2" x14ac:dyDescent="0.3">
      <c r="A106" s="17">
        <v>45457</v>
      </c>
      <c r="B106" s="14">
        <v>126.38</v>
      </c>
    </row>
    <row r="107" spans="1:2" x14ac:dyDescent="0.3">
      <c r="A107" s="17">
        <v>45458</v>
      </c>
      <c r="B107" s="14">
        <v>262.56</v>
      </c>
    </row>
    <row r="108" spans="1:2" x14ac:dyDescent="0.3">
      <c r="A108" s="17">
        <v>45459</v>
      </c>
      <c r="B108" s="14">
        <v>408.53999999999996</v>
      </c>
    </row>
    <row r="109" spans="1:2" x14ac:dyDescent="0.3">
      <c r="A109" s="17">
        <v>45460</v>
      </c>
      <c r="B109" s="14">
        <v>323.3</v>
      </c>
    </row>
    <row r="110" spans="1:2" x14ac:dyDescent="0.3">
      <c r="A110" s="17">
        <v>45461</v>
      </c>
      <c r="B110" s="14">
        <v>234.64</v>
      </c>
    </row>
    <row r="111" spans="1:2" x14ac:dyDescent="0.3">
      <c r="A111" s="17">
        <v>45462</v>
      </c>
      <c r="B111" s="14">
        <v>380.61999999999995</v>
      </c>
    </row>
    <row r="112" spans="1:2" x14ac:dyDescent="0.3">
      <c r="A112" s="17">
        <v>45463</v>
      </c>
      <c r="B112" s="14">
        <v>221.42</v>
      </c>
    </row>
    <row r="113" spans="1:2" x14ac:dyDescent="0.3">
      <c r="A113" s="17">
        <v>45464</v>
      </c>
      <c r="B113" s="14">
        <v>403.6400000000001</v>
      </c>
    </row>
    <row r="114" spans="1:2" x14ac:dyDescent="0.3">
      <c r="A114" s="17">
        <v>45465</v>
      </c>
      <c r="B114" s="14">
        <v>169</v>
      </c>
    </row>
    <row r="115" spans="1:2" x14ac:dyDescent="0.3">
      <c r="A115" s="17">
        <v>45466</v>
      </c>
      <c r="B115" s="14">
        <v>178.79999999999998</v>
      </c>
    </row>
    <row r="116" spans="1:2" x14ac:dyDescent="0.3">
      <c r="A116" s="17">
        <v>45467</v>
      </c>
      <c r="B116" s="14">
        <v>221.42</v>
      </c>
    </row>
    <row r="117" spans="1:2" x14ac:dyDescent="0.3">
      <c r="A117" s="17">
        <v>45468</v>
      </c>
      <c r="B117" s="14">
        <v>141.07999999999998</v>
      </c>
    </row>
    <row r="118" spans="1:2" x14ac:dyDescent="0.3">
      <c r="A118" s="17">
        <v>45469</v>
      </c>
      <c r="B118" s="14">
        <v>196.92</v>
      </c>
    </row>
    <row r="119" spans="1:2" x14ac:dyDescent="0.3">
      <c r="A119" s="17">
        <v>45470</v>
      </c>
      <c r="B119" s="14">
        <v>131.28</v>
      </c>
    </row>
    <row r="120" spans="1:2" x14ac:dyDescent="0.3">
      <c r="A120" s="17">
        <v>45471</v>
      </c>
      <c r="B120" s="14">
        <v>159.19999999999999</v>
      </c>
    </row>
    <row r="121" spans="1:2" x14ac:dyDescent="0.3">
      <c r="A121" s="17">
        <v>45472</v>
      </c>
      <c r="B121" s="14">
        <v>287.06</v>
      </c>
    </row>
    <row r="122" spans="1:2" x14ac:dyDescent="0.3">
      <c r="A122" s="17">
        <v>45473</v>
      </c>
      <c r="B122" s="14">
        <v>131.28</v>
      </c>
    </row>
    <row r="123" spans="1:2" x14ac:dyDescent="0.3">
      <c r="A123" s="17">
        <v>45474</v>
      </c>
      <c r="B123" s="14">
        <v>98.46</v>
      </c>
    </row>
    <row r="124" spans="1:2" x14ac:dyDescent="0.3">
      <c r="A124" s="17">
        <v>45475</v>
      </c>
      <c r="B124" s="14">
        <v>192.02</v>
      </c>
    </row>
    <row r="125" spans="1:2" x14ac:dyDescent="0.3">
      <c r="A125" s="17">
        <v>45476</v>
      </c>
      <c r="B125" s="14">
        <v>310.08000000000004</v>
      </c>
    </row>
    <row r="126" spans="1:2" x14ac:dyDescent="0.3">
      <c r="A126" s="17">
        <v>45477</v>
      </c>
      <c r="B126" s="14">
        <v>60.74</v>
      </c>
    </row>
    <row r="127" spans="1:2" x14ac:dyDescent="0.3">
      <c r="A127" s="17">
        <v>45478</v>
      </c>
      <c r="B127" s="14">
        <v>303.7</v>
      </c>
    </row>
    <row r="128" spans="1:2" x14ac:dyDescent="0.3">
      <c r="A128" s="17">
        <v>45479</v>
      </c>
      <c r="B128" s="14">
        <v>164.09999999999997</v>
      </c>
    </row>
    <row r="129" spans="1:2" x14ac:dyDescent="0.3">
      <c r="A129" s="17">
        <v>45480</v>
      </c>
      <c r="B129" s="14">
        <v>346.32</v>
      </c>
    </row>
    <row r="130" spans="1:2" x14ac:dyDescent="0.3">
      <c r="A130" s="17">
        <v>45481</v>
      </c>
      <c r="B130" s="14">
        <v>139.6</v>
      </c>
    </row>
    <row r="131" spans="1:2" x14ac:dyDescent="0.3">
      <c r="A131" s="17">
        <v>45482</v>
      </c>
      <c r="B131" s="14">
        <v>144.5</v>
      </c>
    </row>
    <row r="132" spans="1:2" x14ac:dyDescent="0.3">
      <c r="A132" s="17">
        <v>45483</v>
      </c>
      <c r="B132" s="14">
        <v>83.759999999999991</v>
      </c>
    </row>
    <row r="133" spans="1:2" x14ac:dyDescent="0.3">
      <c r="A133" s="17">
        <v>45484</v>
      </c>
      <c r="B133" s="14">
        <v>116.58</v>
      </c>
    </row>
    <row r="134" spans="1:2" x14ac:dyDescent="0.3">
      <c r="A134" s="17">
        <v>45485</v>
      </c>
      <c r="B134" s="14">
        <v>154.29999999999998</v>
      </c>
    </row>
    <row r="135" spans="1:2" x14ac:dyDescent="0.3">
      <c r="A135" s="17">
        <v>45486</v>
      </c>
      <c r="B135" s="14">
        <v>65.64</v>
      </c>
    </row>
    <row r="136" spans="1:2" x14ac:dyDescent="0.3">
      <c r="A136" s="17">
        <v>45487</v>
      </c>
      <c r="B136" s="14">
        <v>172.42</v>
      </c>
    </row>
    <row r="137" spans="1:2" x14ac:dyDescent="0.3">
      <c r="A137" s="17">
        <v>45488</v>
      </c>
      <c r="B137" s="14">
        <v>32.82</v>
      </c>
    </row>
    <row r="138" spans="1:2" x14ac:dyDescent="0.3">
      <c r="A138" s="17">
        <v>45489</v>
      </c>
      <c r="B138" s="14">
        <v>60.74</v>
      </c>
    </row>
    <row r="139" spans="1:2" x14ac:dyDescent="0.3">
      <c r="A139" s="17">
        <v>45490</v>
      </c>
      <c r="B139" s="14">
        <v>27.92</v>
      </c>
    </row>
    <row r="140" spans="1:2" x14ac:dyDescent="0.3">
      <c r="A140" s="17">
        <v>45491</v>
      </c>
      <c r="B140" s="14">
        <v>312.02</v>
      </c>
    </row>
    <row r="141" spans="1:2" x14ac:dyDescent="0.3">
      <c r="A141" s="17">
        <v>45492</v>
      </c>
      <c r="B141" s="14">
        <v>242.95999999999998</v>
      </c>
    </row>
    <row r="142" spans="1:2" x14ac:dyDescent="0.3">
      <c r="A142" s="17">
        <v>45493</v>
      </c>
      <c r="B142" s="14">
        <v>200.34</v>
      </c>
    </row>
    <row r="143" spans="1:2" x14ac:dyDescent="0.3">
      <c r="A143" s="17">
        <v>45494</v>
      </c>
      <c r="B143" s="14">
        <v>121.47999999999999</v>
      </c>
    </row>
    <row r="144" spans="1:2" x14ac:dyDescent="0.3">
      <c r="A144" s="17">
        <v>45495</v>
      </c>
      <c r="B144" s="14">
        <v>106.78</v>
      </c>
    </row>
    <row r="145" spans="1:2" x14ac:dyDescent="0.3">
      <c r="A145" s="17">
        <v>45496</v>
      </c>
      <c r="B145" s="14">
        <v>339.94</v>
      </c>
    </row>
    <row r="146" spans="1:2" x14ac:dyDescent="0.3">
      <c r="A146" s="17">
        <v>45497</v>
      </c>
      <c r="B146" s="14">
        <v>330.14</v>
      </c>
    </row>
    <row r="147" spans="1:2" x14ac:dyDescent="0.3">
      <c r="A147" s="17">
        <v>45498</v>
      </c>
      <c r="B147" s="14">
        <v>269.40000000000003</v>
      </c>
    </row>
    <row r="148" spans="1:2" x14ac:dyDescent="0.3">
      <c r="A148" s="17">
        <v>45499</v>
      </c>
      <c r="B148" s="14">
        <v>461.41999999999996</v>
      </c>
    </row>
    <row r="149" spans="1:2" x14ac:dyDescent="0.3">
      <c r="A149" s="17">
        <v>45500</v>
      </c>
      <c r="B149" s="14">
        <v>372.76</v>
      </c>
    </row>
    <row r="150" spans="1:2" x14ac:dyDescent="0.3">
      <c r="A150" s="17">
        <v>45501</v>
      </c>
      <c r="B150" s="14">
        <v>78.860000000000014</v>
      </c>
    </row>
    <row r="151" spans="1:2" x14ac:dyDescent="0.3">
      <c r="A151" s="17">
        <v>45502</v>
      </c>
      <c r="B151" s="14">
        <v>321.81999999999994</v>
      </c>
    </row>
    <row r="152" spans="1:2" x14ac:dyDescent="0.3">
      <c r="A152" s="17">
        <v>45503</v>
      </c>
      <c r="B152" s="14">
        <v>650.48000000000013</v>
      </c>
    </row>
    <row r="153" spans="1:2" x14ac:dyDescent="0.3">
      <c r="A153" s="17">
        <v>45504</v>
      </c>
      <c r="B153" s="14">
        <v>633.84</v>
      </c>
    </row>
    <row r="154" spans="1:2" x14ac:dyDescent="0.3">
      <c r="A154" s="17" t="s">
        <v>465</v>
      </c>
      <c r="B154" s="14">
        <v>37508.879999999976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B5" sqref="B5"/>
    </sheetView>
  </sheetViews>
  <sheetFormatPr defaultRowHeight="14.4" x14ac:dyDescent="0.3"/>
  <cols>
    <col min="1" max="1" width="12.5546875" customWidth="1"/>
    <col min="2" max="2" width="13.44140625" customWidth="1"/>
  </cols>
  <sheetData>
    <row r="3" spans="1:2" x14ac:dyDescent="0.3">
      <c r="A3" s="15" t="s">
        <v>464</v>
      </c>
      <c r="B3" t="s">
        <v>466</v>
      </c>
    </row>
    <row r="4" spans="1:2" x14ac:dyDescent="0.3">
      <c r="A4" s="18" t="s">
        <v>3</v>
      </c>
      <c r="B4" s="14">
        <v>34322.879999999845</v>
      </c>
    </row>
    <row r="5" spans="1:2" x14ac:dyDescent="0.3">
      <c r="A5" s="18" t="s">
        <v>21</v>
      </c>
      <c r="B5" s="14">
        <v>3186</v>
      </c>
    </row>
    <row r="6" spans="1:2" x14ac:dyDescent="0.3">
      <c r="A6" s="18" t="s">
        <v>465</v>
      </c>
      <c r="B6" s="14">
        <v>37508.879999999845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2"/>
  <sheetViews>
    <sheetView workbookViewId="0">
      <selection activeCell="A3" sqref="A3"/>
    </sheetView>
  </sheetViews>
  <sheetFormatPr defaultRowHeight="14.4" x14ac:dyDescent="0.3"/>
  <cols>
    <col min="1" max="1" width="17.88671875" customWidth="1"/>
    <col min="2" max="2" width="13.44140625" customWidth="1"/>
  </cols>
  <sheetData>
    <row r="3" spans="1:2" x14ac:dyDescent="0.3">
      <c r="A3" s="15" t="s">
        <v>464</v>
      </c>
      <c r="B3" t="s">
        <v>466</v>
      </c>
    </row>
    <row r="4" spans="1:2" x14ac:dyDescent="0.3">
      <c r="A4" s="18" t="s">
        <v>11</v>
      </c>
      <c r="B4" s="14">
        <v>4644.5400000000163</v>
      </c>
    </row>
    <row r="5" spans="1:2" x14ac:dyDescent="0.3">
      <c r="A5" s="18" t="s">
        <v>14</v>
      </c>
      <c r="B5" s="14">
        <v>8601.939999999986</v>
      </c>
    </row>
    <row r="6" spans="1:2" x14ac:dyDescent="0.3">
      <c r="A6" s="18" t="s">
        <v>43</v>
      </c>
      <c r="B6" s="14">
        <v>7333.1399999999994</v>
      </c>
    </row>
    <row r="7" spans="1:2" x14ac:dyDescent="0.3">
      <c r="A7" s="18" t="s">
        <v>18</v>
      </c>
      <c r="B7" s="14">
        <v>1295.9399999999998</v>
      </c>
    </row>
    <row r="8" spans="1:2" x14ac:dyDescent="0.3">
      <c r="A8" s="18" t="s">
        <v>28</v>
      </c>
      <c r="B8" s="14">
        <v>2745.0800000000027</v>
      </c>
    </row>
    <row r="9" spans="1:2" x14ac:dyDescent="0.3">
      <c r="A9" s="18" t="s">
        <v>35</v>
      </c>
      <c r="B9" s="14">
        <v>1100.6199999999992</v>
      </c>
    </row>
    <row r="10" spans="1:2" x14ac:dyDescent="0.3">
      <c r="A10" s="18" t="s">
        <v>9</v>
      </c>
      <c r="B10" s="14">
        <v>2778.4800000000009</v>
      </c>
    </row>
    <row r="11" spans="1:2" x14ac:dyDescent="0.3">
      <c r="A11" s="18" t="s">
        <v>7</v>
      </c>
      <c r="B11" s="14">
        <v>9009.1399999999976</v>
      </c>
    </row>
    <row r="12" spans="1:2" x14ac:dyDescent="0.3">
      <c r="A12" s="18" t="s">
        <v>465</v>
      </c>
      <c r="B12" s="14">
        <v>37508.879999999997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97"/>
  <sheetViews>
    <sheetView workbookViewId="0">
      <selection sqref="A1:I197"/>
    </sheetView>
  </sheetViews>
  <sheetFormatPr defaultRowHeight="14.4" x14ac:dyDescent="0.3"/>
  <cols>
    <col min="3" max="3" width="9.5546875" customWidth="1"/>
    <col min="4" max="4" width="10.44140625" customWidth="1"/>
    <col min="6" max="6" width="11.44140625" customWidth="1"/>
    <col min="9" max="9" width="14" customWidth="1"/>
  </cols>
  <sheetData>
    <row r="1" spans="1:9" x14ac:dyDescent="0.3">
      <c r="A1" t="s">
        <v>0</v>
      </c>
      <c r="B1" t="s">
        <v>461</v>
      </c>
      <c r="C1" t="s">
        <v>462</v>
      </c>
      <c r="D1" t="s">
        <v>1</v>
      </c>
      <c r="E1" t="s">
        <v>463</v>
      </c>
      <c r="F1" t="s">
        <v>2</v>
      </c>
      <c r="G1" t="s">
        <v>3</v>
      </c>
      <c r="H1" t="s">
        <v>4</v>
      </c>
      <c r="I1" t="s">
        <v>5</v>
      </c>
    </row>
    <row r="2" spans="1:9" x14ac:dyDescent="0.3">
      <c r="A2" s="1">
        <v>45412</v>
      </c>
      <c r="B2">
        <v>2024</v>
      </c>
      <c r="C2">
        <v>4</v>
      </c>
      <c r="D2">
        <v>45412.813436944445</v>
      </c>
      <c r="E2">
        <v>19</v>
      </c>
      <c r="F2" t="s">
        <v>3</v>
      </c>
      <c r="G2" t="s">
        <v>156</v>
      </c>
      <c r="H2">
        <v>37.72</v>
      </c>
      <c r="I2" t="s">
        <v>7</v>
      </c>
    </row>
    <row r="3" spans="1:9" x14ac:dyDescent="0.3">
      <c r="A3" s="1">
        <v>45412</v>
      </c>
      <c r="B3">
        <v>2024</v>
      </c>
      <c r="C3">
        <v>4</v>
      </c>
      <c r="D3">
        <v>45412.812546331021</v>
      </c>
      <c r="E3">
        <v>19</v>
      </c>
      <c r="F3" t="s">
        <v>3</v>
      </c>
      <c r="G3" t="s">
        <v>156</v>
      </c>
      <c r="H3">
        <v>32.82</v>
      </c>
      <c r="I3" t="s">
        <v>14</v>
      </c>
    </row>
    <row r="4" spans="1:9" x14ac:dyDescent="0.3">
      <c r="A4" s="1">
        <v>45412</v>
      </c>
      <c r="B4">
        <v>2024</v>
      </c>
      <c r="C4">
        <v>4</v>
      </c>
      <c r="D4">
        <v>45412.805071053241</v>
      </c>
      <c r="E4">
        <v>19</v>
      </c>
      <c r="F4" t="s">
        <v>3</v>
      </c>
      <c r="G4" t="s">
        <v>156</v>
      </c>
      <c r="H4">
        <v>37.72</v>
      </c>
      <c r="I4" t="s">
        <v>43</v>
      </c>
    </row>
    <row r="5" spans="1:9" x14ac:dyDescent="0.3">
      <c r="A5" s="1">
        <v>45412</v>
      </c>
      <c r="B5">
        <v>2024</v>
      </c>
      <c r="C5">
        <v>4</v>
      </c>
      <c r="D5">
        <v>45412.571527511573</v>
      </c>
      <c r="E5">
        <v>13</v>
      </c>
      <c r="F5" t="s">
        <v>3</v>
      </c>
      <c r="G5" t="s">
        <v>156</v>
      </c>
      <c r="H5">
        <v>32.82</v>
      </c>
      <c r="I5" t="s">
        <v>14</v>
      </c>
    </row>
    <row r="6" spans="1:9" x14ac:dyDescent="0.3">
      <c r="A6" s="1">
        <v>45412</v>
      </c>
      <c r="B6">
        <v>2024</v>
      </c>
      <c r="C6">
        <v>4</v>
      </c>
      <c r="D6">
        <v>45412.570744502314</v>
      </c>
      <c r="E6">
        <v>13</v>
      </c>
      <c r="F6" t="s">
        <v>3</v>
      </c>
      <c r="G6" t="s">
        <v>156</v>
      </c>
      <c r="H6">
        <v>27.92</v>
      </c>
      <c r="I6" t="s">
        <v>11</v>
      </c>
    </row>
    <row r="7" spans="1:9" x14ac:dyDescent="0.3">
      <c r="A7" s="1">
        <v>45412</v>
      </c>
      <c r="B7">
        <v>2024</v>
      </c>
      <c r="C7">
        <v>4</v>
      </c>
      <c r="D7">
        <v>45412.441523344911</v>
      </c>
      <c r="E7">
        <v>10</v>
      </c>
      <c r="F7" t="s">
        <v>3</v>
      </c>
      <c r="G7" t="s">
        <v>156</v>
      </c>
      <c r="H7">
        <v>32.82</v>
      </c>
      <c r="I7" t="s">
        <v>14</v>
      </c>
    </row>
    <row r="8" spans="1:9" x14ac:dyDescent="0.3">
      <c r="A8" s="1">
        <v>45412</v>
      </c>
      <c r="B8">
        <v>2024</v>
      </c>
      <c r="C8">
        <v>4</v>
      </c>
      <c r="D8">
        <v>45412.440882523151</v>
      </c>
      <c r="E8">
        <v>10</v>
      </c>
      <c r="F8" t="s">
        <v>3</v>
      </c>
      <c r="G8" t="s">
        <v>156</v>
      </c>
      <c r="H8">
        <v>32.82</v>
      </c>
      <c r="I8" t="s">
        <v>14</v>
      </c>
    </row>
    <row r="9" spans="1:9" x14ac:dyDescent="0.3">
      <c r="A9" s="1">
        <v>45412</v>
      </c>
      <c r="B9">
        <v>2024</v>
      </c>
      <c r="C9">
        <v>4</v>
      </c>
      <c r="D9">
        <v>45412.428258020831</v>
      </c>
      <c r="E9">
        <v>10</v>
      </c>
      <c r="F9" t="s">
        <v>3</v>
      </c>
      <c r="G9" t="s">
        <v>156</v>
      </c>
      <c r="H9">
        <v>37.72</v>
      </c>
      <c r="I9" t="s">
        <v>7</v>
      </c>
    </row>
    <row r="10" spans="1:9" x14ac:dyDescent="0.3">
      <c r="A10" s="1">
        <v>45411</v>
      </c>
      <c r="B10">
        <v>2024</v>
      </c>
      <c r="C10">
        <v>4</v>
      </c>
      <c r="D10">
        <v>45411.80113284722</v>
      </c>
      <c r="E10">
        <v>19</v>
      </c>
      <c r="F10" t="s">
        <v>3</v>
      </c>
      <c r="G10" t="s">
        <v>148</v>
      </c>
      <c r="H10">
        <v>37.72</v>
      </c>
      <c r="I10" t="s">
        <v>43</v>
      </c>
    </row>
    <row r="11" spans="1:9" x14ac:dyDescent="0.3">
      <c r="A11" s="1">
        <v>45411</v>
      </c>
      <c r="B11">
        <v>2024</v>
      </c>
      <c r="C11">
        <v>4</v>
      </c>
      <c r="D11">
        <v>45411.800384189817</v>
      </c>
      <c r="E11">
        <v>19</v>
      </c>
      <c r="F11" t="s">
        <v>3</v>
      </c>
      <c r="G11" t="s">
        <v>148</v>
      </c>
      <c r="H11">
        <v>37.72</v>
      </c>
      <c r="I11" t="s">
        <v>43</v>
      </c>
    </row>
    <row r="12" spans="1:9" x14ac:dyDescent="0.3">
      <c r="A12" s="1">
        <v>45411</v>
      </c>
      <c r="B12">
        <v>2024</v>
      </c>
      <c r="C12">
        <v>4</v>
      </c>
      <c r="D12">
        <v>45411.776254699071</v>
      </c>
      <c r="E12">
        <v>18</v>
      </c>
      <c r="F12" t="s">
        <v>3</v>
      </c>
      <c r="G12" t="s">
        <v>154</v>
      </c>
      <c r="H12">
        <v>37.72</v>
      </c>
      <c r="I12" t="s">
        <v>43</v>
      </c>
    </row>
    <row r="13" spans="1:9" x14ac:dyDescent="0.3">
      <c r="A13" s="1">
        <v>45411</v>
      </c>
      <c r="B13">
        <v>2024</v>
      </c>
      <c r="C13">
        <v>4</v>
      </c>
      <c r="D13">
        <v>45411.579448576391</v>
      </c>
      <c r="E13">
        <v>13</v>
      </c>
      <c r="F13" t="s">
        <v>3</v>
      </c>
      <c r="G13" t="s">
        <v>155</v>
      </c>
      <c r="H13">
        <v>32.82</v>
      </c>
      <c r="I13" t="s">
        <v>14</v>
      </c>
    </row>
    <row r="14" spans="1:9" x14ac:dyDescent="0.3">
      <c r="A14" s="1">
        <v>45411</v>
      </c>
      <c r="B14">
        <v>2024</v>
      </c>
      <c r="C14">
        <v>4</v>
      </c>
      <c r="D14">
        <v>45411.578885763891</v>
      </c>
      <c r="E14">
        <v>13</v>
      </c>
      <c r="F14" t="s">
        <v>3</v>
      </c>
      <c r="G14" t="s">
        <v>155</v>
      </c>
      <c r="H14">
        <v>27.92</v>
      </c>
      <c r="I14" t="s">
        <v>28</v>
      </c>
    </row>
    <row r="15" spans="1:9" x14ac:dyDescent="0.3">
      <c r="A15" s="1">
        <v>45411</v>
      </c>
      <c r="B15">
        <v>2024</v>
      </c>
      <c r="C15">
        <v>4</v>
      </c>
      <c r="D15">
        <v>45411.56173494213</v>
      </c>
      <c r="E15">
        <v>13</v>
      </c>
      <c r="F15" t="s">
        <v>3</v>
      </c>
      <c r="G15" t="s">
        <v>10</v>
      </c>
      <c r="H15">
        <v>27.92</v>
      </c>
      <c r="I15" t="s">
        <v>28</v>
      </c>
    </row>
    <row r="16" spans="1:9" x14ac:dyDescent="0.3">
      <c r="A16" s="1">
        <v>45411</v>
      </c>
      <c r="B16">
        <v>2024</v>
      </c>
      <c r="C16">
        <v>4</v>
      </c>
      <c r="D16">
        <v>45411.561075798614</v>
      </c>
      <c r="E16">
        <v>13</v>
      </c>
      <c r="F16" t="s">
        <v>3</v>
      </c>
      <c r="G16" t="s">
        <v>10</v>
      </c>
      <c r="H16">
        <v>27.92</v>
      </c>
      <c r="I16" t="s">
        <v>11</v>
      </c>
    </row>
    <row r="17" spans="1:9" x14ac:dyDescent="0.3">
      <c r="A17" s="1">
        <v>45411</v>
      </c>
      <c r="B17">
        <v>2024</v>
      </c>
      <c r="C17">
        <v>4</v>
      </c>
      <c r="D17">
        <v>45411.476757766206</v>
      </c>
      <c r="E17">
        <v>11</v>
      </c>
      <c r="F17" t="s">
        <v>3</v>
      </c>
      <c r="G17" t="s">
        <v>155</v>
      </c>
      <c r="H17">
        <v>27.92</v>
      </c>
      <c r="I17" t="s">
        <v>28</v>
      </c>
    </row>
    <row r="18" spans="1:9" x14ac:dyDescent="0.3">
      <c r="A18" s="1">
        <v>45410</v>
      </c>
      <c r="B18">
        <v>2024</v>
      </c>
      <c r="C18">
        <v>4</v>
      </c>
      <c r="D18">
        <v>45410.770166365743</v>
      </c>
      <c r="E18">
        <v>18</v>
      </c>
      <c r="F18" t="s">
        <v>3</v>
      </c>
      <c r="G18" t="s">
        <v>31</v>
      </c>
      <c r="H18">
        <v>37.72</v>
      </c>
      <c r="I18" t="s">
        <v>7</v>
      </c>
    </row>
    <row r="19" spans="1:9" x14ac:dyDescent="0.3">
      <c r="A19" s="1">
        <v>45410</v>
      </c>
      <c r="B19">
        <v>2024</v>
      </c>
      <c r="C19">
        <v>4</v>
      </c>
      <c r="D19">
        <v>45410.769576516206</v>
      </c>
      <c r="E19">
        <v>18</v>
      </c>
      <c r="F19" t="s">
        <v>3</v>
      </c>
      <c r="G19" t="s">
        <v>23</v>
      </c>
      <c r="H19">
        <v>27.92</v>
      </c>
      <c r="I19" t="s">
        <v>11</v>
      </c>
    </row>
    <row r="20" spans="1:9" x14ac:dyDescent="0.3">
      <c r="A20" s="1">
        <v>45410</v>
      </c>
      <c r="B20">
        <v>2024</v>
      </c>
      <c r="C20">
        <v>4</v>
      </c>
      <c r="D20">
        <v>45410.768845254628</v>
      </c>
      <c r="E20">
        <v>18</v>
      </c>
      <c r="F20" t="s">
        <v>3</v>
      </c>
      <c r="G20" t="s">
        <v>23</v>
      </c>
      <c r="H20">
        <v>27.92</v>
      </c>
      <c r="I20" t="s">
        <v>11</v>
      </c>
    </row>
    <row r="21" spans="1:9" x14ac:dyDescent="0.3">
      <c r="A21" s="1">
        <v>45410</v>
      </c>
      <c r="B21">
        <v>2024</v>
      </c>
      <c r="C21">
        <v>4</v>
      </c>
      <c r="D21">
        <v>45410.520946168981</v>
      </c>
      <c r="E21">
        <v>12</v>
      </c>
      <c r="F21" t="s">
        <v>3</v>
      </c>
      <c r="G21" t="s">
        <v>154</v>
      </c>
      <c r="H21">
        <v>37.72</v>
      </c>
      <c r="I21" t="s">
        <v>43</v>
      </c>
    </row>
    <row r="22" spans="1:9" x14ac:dyDescent="0.3">
      <c r="A22" s="1">
        <v>45410</v>
      </c>
      <c r="B22">
        <v>2024</v>
      </c>
      <c r="C22">
        <v>4</v>
      </c>
      <c r="D22">
        <v>45410.439496284722</v>
      </c>
      <c r="E22">
        <v>10</v>
      </c>
      <c r="F22" t="s">
        <v>3</v>
      </c>
      <c r="G22" t="s">
        <v>6</v>
      </c>
      <c r="H22">
        <v>37.72</v>
      </c>
      <c r="I22" t="s">
        <v>7</v>
      </c>
    </row>
    <row r="23" spans="1:9" x14ac:dyDescent="0.3">
      <c r="A23" s="1">
        <v>45409</v>
      </c>
      <c r="B23">
        <v>2024</v>
      </c>
      <c r="C23">
        <v>4</v>
      </c>
      <c r="D23">
        <v>45409.64375787037</v>
      </c>
      <c r="E23">
        <v>15</v>
      </c>
      <c r="F23" t="s">
        <v>3</v>
      </c>
      <c r="G23" t="s">
        <v>19</v>
      </c>
      <c r="H23">
        <v>37.72</v>
      </c>
      <c r="I23" t="s">
        <v>43</v>
      </c>
    </row>
    <row r="24" spans="1:9" x14ac:dyDescent="0.3">
      <c r="A24" s="1">
        <v>45408</v>
      </c>
      <c r="B24">
        <v>2024</v>
      </c>
      <c r="C24">
        <v>4</v>
      </c>
      <c r="D24">
        <v>45408.81493310185</v>
      </c>
      <c r="E24">
        <v>19</v>
      </c>
      <c r="F24" t="s">
        <v>3</v>
      </c>
      <c r="G24" t="s">
        <v>19</v>
      </c>
      <c r="H24">
        <v>37.72</v>
      </c>
      <c r="I24" t="s">
        <v>18</v>
      </c>
    </row>
    <row r="25" spans="1:9" x14ac:dyDescent="0.3">
      <c r="A25" s="1">
        <v>45408</v>
      </c>
      <c r="B25">
        <v>2024</v>
      </c>
      <c r="C25">
        <v>4</v>
      </c>
      <c r="D25">
        <v>45408.813971203701</v>
      </c>
      <c r="E25">
        <v>19</v>
      </c>
      <c r="F25" t="s">
        <v>3</v>
      </c>
      <c r="G25" t="s">
        <v>19</v>
      </c>
      <c r="H25">
        <v>37.72</v>
      </c>
      <c r="I25" t="s">
        <v>9</v>
      </c>
    </row>
    <row r="26" spans="1:9" x14ac:dyDescent="0.3">
      <c r="A26" s="1">
        <v>45408</v>
      </c>
      <c r="B26">
        <v>2024</v>
      </c>
      <c r="C26">
        <v>4</v>
      </c>
      <c r="D26">
        <v>45408.683724537033</v>
      </c>
      <c r="E26">
        <v>16</v>
      </c>
      <c r="F26" t="s">
        <v>3</v>
      </c>
      <c r="G26" t="s">
        <v>153</v>
      </c>
      <c r="H26">
        <v>27.92</v>
      </c>
      <c r="I26" t="s">
        <v>11</v>
      </c>
    </row>
    <row r="27" spans="1:9" x14ac:dyDescent="0.3">
      <c r="A27" s="1">
        <v>45408</v>
      </c>
      <c r="B27">
        <v>2024</v>
      </c>
      <c r="C27">
        <v>4</v>
      </c>
      <c r="D27">
        <v>45408.682945763889</v>
      </c>
      <c r="E27">
        <v>16</v>
      </c>
      <c r="F27" t="s">
        <v>3</v>
      </c>
      <c r="G27" t="s">
        <v>152</v>
      </c>
      <c r="H27">
        <v>27.92</v>
      </c>
      <c r="I27" t="s">
        <v>28</v>
      </c>
    </row>
    <row r="28" spans="1:9" x14ac:dyDescent="0.3">
      <c r="A28" s="1">
        <v>45408</v>
      </c>
      <c r="B28">
        <v>2024</v>
      </c>
      <c r="C28">
        <v>4</v>
      </c>
      <c r="D28">
        <v>45408.648300138891</v>
      </c>
      <c r="E28">
        <v>15</v>
      </c>
      <c r="F28" t="s">
        <v>3</v>
      </c>
      <c r="G28" t="s">
        <v>23</v>
      </c>
      <c r="H28">
        <v>27.92</v>
      </c>
      <c r="I28" t="s">
        <v>11</v>
      </c>
    </row>
    <row r="29" spans="1:9" x14ac:dyDescent="0.3">
      <c r="A29" s="1">
        <v>45408</v>
      </c>
      <c r="B29">
        <v>2024</v>
      </c>
      <c r="C29">
        <v>4</v>
      </c>
      <c r="D29">
        <v>45408.647631828702</v>
      </c>
      <c r="E29">
        <v>15</v>
      </c>
      <c r="F29" t="s">
        <v>3</v>
      </c>
      <c r="G29" t="s">
        <v>23</v>
      </c>
      <c r="H29">
        <v>27.92</v>
      </c>
      <c r="I29" t="s">
        <v>11</v>
      </c>
    </row>
    <row r="30" spans="1:9" x14ac:dyDescent="0.3">
      <c r="A30" s="1">
        <v>45408</v>
      </c>
      <c r="B30">
        <v>2024</v>
      </c>
      <c r="C30">
        <v>4</v>
      </c>
      <c r="D30">
        <v>45408.563521956021</v>
      </c>
      <c r="E30">
        <v>13</v>
      </c>
      <c r="F30" t="s">
        <v>3</v>
      </c>
      <c r="G30" t="s">
        <v>151</v>
      </c>
      <c r="H30">
        <v>37.72</v>
      </c>
      <c r="I30" t="s">
        <v>43</v>
      </c>
    </row>
    <row r="31" spans="1:9" x14ac:dyDescent="0.3">
      <c r="A31" s="1">
        <v>45408</v>
      </c>
      <c r="B31">
        <v>2024</v>
      </c>
      <c r="C31">
        <v>4</v>
      </c>
      <c r="D31">
        <v>45408.501048379629</v>
      </c>
      <c r="E31">
        <v>12</v>
      </c>
      <c r="F31" t="s">
        <v>3</v>
      </c>
      <c r="G31" t="s">
        <v>150</v>
      </c>
      <c r="H31">
        <v>37.72</v>
      </c>
      <c r="I31" t="s">
        <v>7</v>
      </c>
    </row>
    <row r="32" spans="1:9" x14ac:dyDescent="0.3">
      <c r="A32" s="1">
        <v>45408</v>
      </c>
      <c r="B32">
        <v>2024</v>
      </c>
      <c r="C32">
        <v>4</v>
      </c>
      <c r="D32">
        <v>45408.425585856479</v>
      </c>
      <c r="E32">
        <v>10</v>
      </c>
      <c r="F32" t="s">
        <v>3</v>
      </c>
      <c r="G32" t="s">
        <v>6</v>
      </c>
      <c r="H32">
        <v>37.72</v>
      </c>
      <c r="I32" t="s">
        <v>7</v>
      </c>
    </row>
    <row r="33" spans="1:9" x14ac:dyDescent="0.3">
      <c r="A33" s="1">
        <v>45407</v>
      </c>
      <c r="B33">
        <v>2024</v>
      </c>
      <c r="C33">
        <v>4</v>
      </c>
      <c r="D33">
        <v>45407.715846678242</v>
      </c>
      <c r="E33">
        <v>17</v>
      </c>
      <c r="F33" t="s">
        <v>3</v>
      </c>
      <c r="G33" t="s">
        <v>23</v>
      </c>
      <c r="H33">
        <v>27.92</v>
      </c>
      <c r="I33" t="s">
        <v>11</v>
      </c>
    </row>
    <row r="34" spans="1:9" x14ac:dyDescent="0.3">
      <c r="A34" s="1">
        <v>45407</v>
      </c>
      <c r="B34">
        <v>2024</v>
      </c>
      <c r="C34">
        <v>4</v>
      </c>
      <c r="D34">
        <v>45407.715087199074</v>
      </c>
      <c r="E34">
        <v>17</v>
      </c>
      <c r="F34" t="s">
        <v>3</v>
      </c>
      <c r="G34" t="s">
        <v>23</v>
      </c>
      <c r="H34">
        <v>27.92</v>
      </c>
      <c r="I34" t="s">
        <v>11</v>
      </c>
    </row>
    <row r="35" spans="1:9" x14ac:dyDescent="0.3">
      <c r="A35" s="1">
        <v>45407</v>
      </c>
      <c r="B35">
        <v>2024</v>
      </c>
      <c r="C35">
        <v>4</v>
      </c>
      <c r="D35">
        <v>45407.63781216435</v>
      </c>
      <c r="E35">
        <v>15</v>
      </c>
      <c r="F35" t="s">
        <v>3</v>
      </c>
      <c r="G35" t="s">
        <v>19</v>
      </c>
      <c r="H35">
        <v>37.72</v>
      </c>
      <c r="I35" t="s">
        <v>7</v>
      </c>
    </row>
    <row r="36" spans="1:9" x14ac:dyDescent="0.3">
      <c r="A36" s="1">
        <v>45407</v>
      </c>
      <c r="B36">
        <v>2024</v>
      </c>
      <c r="C36">
        <v>4</v>
      </c>
      <c r="D36">
        <v>45407.448704363429</v>
      </c>
      <c r="E36">
        <v>10</v>
      </c>
      <c r="F36" t="s">
        <v>3</v>
      </c>
      <c r="G36" t="s">
        <v>149</v>
      </c>
      <c r="H36">
        <v>27.92</v>
      </c>
      <c r="I36" t="s">
        <v>11</v>
      </c>
    </row>
    <row r="37" spans="1:9" x14ac:dyDescent="0.3">
      <c r="A37" s="1">
        <v>45406</v>
      </c>
      <c r="B37">
        <v>2024</v>
      </c>
      <c r="C37">
        <v>4</v>
      </c>
      <c r="D37">
        <v>45406.820069803238</v>
      </c>
      <c r="E37">
        <v>19</v>
      </c>
      <c r="F37" t="s">
        <v>3</v>
      </c>
      <c r="G37" t="s">
        <v>148</v>
      </c>
      <c r="H37">
        <v>37.72</v>
      </c>
      <c r="I37" t="s">
        <v>43</v>
      </c>
    </row>
    <row r="38" spans="1:9" x14ac:dyDescent="0.3">
      <c r="A38" s="1">
        <v>45406</v>
      </c>
      <c r="B38">
        <v>2024</v>
      </c>
      <c r="C38">
        <v>4</v>
      </c>
      <c r="D38">
        <v>45406.819328506943</v>
      </c>
      <c r="E38">
        <v>19</v>
      </c>
      <c r="F38" t="s">
        <v>3</v>
      </c>
      <c r="G38" t="s">
        <v>148</v>
      </c>
      <c r="H38">
        <v>32.82</v>
      </c>
      <c r="I38" t="s">
        <v>14</v>
      </c>
    </row>
    <row r="39" spans="1:9" x14ac:dyDescent="0.3">
      <c r="A39" s="1">
        <v>45406</v>
      </c>
      <c r="B39">
        <v>2024</v>
      </c>
      <c r="C39">
        <v>4</v>
      </c>
      <c r="D39">
        <v>45406.693835914353</v>
      </c>
      <c r="E39">
        <v>16</v>
      </c>
      <c r="F39" t="s">
        <v>3</v>
      </c>
      <c r="G39" t="s">
        <v>19</v>
      </c>
      <c r="H39">
        <v>32.82</v>
      </c>
      <c r="I39" t="s">
        <v>14</v>
      </c>
    </row>
    <row r="40" spans="1:9" x14ac:dyDescent="0.3">
      <c r="A40" s="1">
        <v>45406</v>
      </c>
      <c r="B40">
        <v>2024</v>
      </c>
      <c r="C40">
        <v>4</v>
      </c>
      <c r="D40">
        <v>45406.527190949077</v>
      </c>
      <c r="E40">
        <v>12</v>
      </c>
      <c r="F40" t="s">
        <v>3</v>
      </c>
      <c r="G40" t="s">
        <v>73</v>
      </c>
      <c r="H40">
        <v>32.82</v>
      </c>
      <c r="I40" t="s">
        <v>14</v>
      </c>
    </row>
    <row r="41" spans="1:9" x14ac:dyDescent="0.3">
      <c r="A41" s="1">
        <v>45406</v>
      </c>
      <c r="B41">
        <v>2024</v>
      </c>
      <c r="C41">
        <v>4</v>
      </c>
      <c r="D41">
        <v>45406.481554942133</v>
      </c>
      <c r="E41">
        <v>11</v>
      </c>
      <c r="F41" t="s">
        <v>3</v>
      </c>
      <c r="G41" t="s">
        <v>147</v>
      </c>
      <c r="H41">
        <v>32.82</v>
      </c>
      <c r="I41" t="s">
        <v>14</v>
      </c>
    </row>
    <row r="42" spans="1:9" x14ac:dyDescent="0.3">
      <c r="A42" s="1">
        <v>45406</v>
      </c>
      <c r="B42">
        <v>2024</v>
      </c>
      <c r="C42">
        <v>4</v>
      </c>
      <c r="D42">
        <v>45406.474839143521</v>
      </c>
      <c r="E42">
        <v>11</v>
      </c>
      <c r="F42" t="s">
        <v>3</v>
      </c>
      <c r="G42" t="s">
        <v>146</v>
      </c>
      <c r="H42">
        <v>32.82</v>
      </c>
      <c r="I42" t="s">
        <v>14</v>
      </c>
    </row>
    <row r="43" spans="1:9" x14ac:dyDescent="0.3">
      <c r="A43" s="1">
        <v>45406</v>
      </c>
      <c r="B43">
        <v>2024</v>
      </c>
      <c r="C43">
        <v>4</v>
      </c>
      <c r="D43">
        <v>45406.43156582176</v>
      </c>
      <c r="E43">
        <v>10</v>
      </c>
      <c r="F43" t="s">
        <v>3</v>
      </c>
      <c r="G43" t="s">
        <v>145</v>
      </c>
      <c r="H43">
        <v>32.82</v>
      </c>
      <c r="I43" t="s">
        <v>14</v>
      </c>
    </row>
    <row r="44" spans="1:9" x14ac:dyDescent="0.3">
      <c r="A44" s="1">
        <v>45406</v>
      </c>
      <c r="B44">
        <v>2024</v>
      </c>
      <c r="C44">
        <v>4</v>
      </c>
      <c r="D44">
        <v>45406.430304930553</v>
      </c>
      <c r="E44">
        <v>10</v>
      </c>
      <c r="F44" t="s">
        <v>3</v>
      </c>
      <c r="G44" t="s">
        <v>6</v>
      </c>
      <c r="H44">
        <v>37.72</v>
      </c>
      <c r="I44" t="s">
        <v>7</v>
      </c>
    </row>
    <row r="45" spans="1:9" x14ac:dyDescent="0.3">
      <c r="A45" s="1">
        <v>45405</v>
      </c>
      <c r="B45">
        <v>2024</v>
      </c>
      <c r="C45">
        <v>4</v>
      </c>
      <c r="D45">
        <v>45405.821831412039</v>
      </c>
      <c r="E45">
        <v>19</v>
      </c>
      <c r="F45" t="s">
        <v>3</v>
      </c>
      <c r="G45" t="s">
        <v>144</v>
      </c>
      <c r="H45">
        <v>32.82</v>
      </c>
      <c r="I45" t="s">
        <v>14</v>
      </c>
    </row>
    <row r="46" spans="1:9" x14ac:dyDescent="0.3">
      <c r="A46" s="1">
        <v>45405</v>
      </c>
      <c r="B46">
        <v>2024</v>
      </c>
      <c r="C46">
        <v>4</v>
      </c>
      <c r="D46">
        <v>45405.821154687503</v>
      </c>
      <c r="E46">
        <v>19</v>
      </c>
      <c r="F46" t="s">
        <v>3</v>
      </c>
      <c r="G46" t="s">
        <v>144</v>
      </c>
      <c r="H46">
        <v>32.82</v>
      </c>
      <c r="I46" t="s">
        <v>14</v>
      </c>
    </row>
    <row r="47" spans="1:9" x14ac:dyDescent="0.3">
      <c r="A47" s="1">
        <v>45405</v>
      </c>
      <c r="B47">
        <v>2024</v>
      </c>
      <c r="C47">
        <v>4</v>
      </c>
      <c r="D47">
        <v>45405.600665682869</v>
      </c>
      <c r="E47">
        <v>14</v>
      </c>
      <c r="F47" t="s">
        <v>3</v>
      </c>
      <c r="G47" t="s">
        <v>19</v>
      </c>
      <c r="H47">
        <v>37.72</v>
      </c>
      <c r="I47" t="s">
        <v>43</v>
      </c>
    </row>
    <row r="48" spans="1:9" x14ac:dyDescent="0.3">
      <c r="A48" s="1">
        <v>45405</v>
      </c>
      <c r="B48">
        <v>2024</v>
      </c>
      <c r="C48">
        <v>4</v>
      </c>
      <c r="D48">
        <v>45405.59992064815</v>
      </c>
      <c r="E48">
        <v>14</v>
      </c>
      <c r="F48" t="s">
        <v>3</v>
      </c>
      <c r="G48" t="s">
        <v>37</v>
      </c>
      <c r="H48">
        <v>32.82</v>
      </c>
      <c r="I48" t="s">
        <v>14</v>
      </c>
    </row>
    <row r="49" spans="1:9" x14ac:dyDescent="0.3">
      <c r="A49" s="1">
        <v>45405</v>
      </c>
      <c r="B49">
        <v>2024</v>
      </c>
      <c r="C49">
        <v>4</v>
      </c>
      <c r="D49">
        <v>45405.599027719909</v>
      </c>
      <c r="E49">
        <v>14</v>
      </c>
      <c r="F49" t="s">
        <v>3</v>
      </c>
      <c r="G49" t="s">
        <v>38</v>
      </c>
      <c r="H49">
        <v>37.72</v>
      </c>
      <c r="I49" t="s">
        <v>43</v>
      </c>
    </row>
    <row r="50" spans="1:9" x14ac:dyDescent="0.3">
      <c r="A50" s="1">
        <v>45404</v>
      </c>
      <c r="B50">
        <v>2024</v>
      </c>
      <c r="C50">
        <v>4</v>
      </c>
      <c r="D50">
        <v>45404.835059780089</v>
      </c>
      <c r="E50">
        <v>20</v>
      </c>
      <c r="F50" t="s">
        <v>21</v>
      </c>
      <c r="H50">
        <v>39</v>
      </c>
      <c r="I50" t="s">
        <v>43</v>
      </c>
    </row>
    <row r="51" spans="1:9" x14ac:dyDescent="0.3">
      <c r="A51" s="1">
        <v>45404</v>
      </c>
      <c r="B51">
        <v>2024</v>
      </c>
      <c r="C51">
        <v>4</v>
      </c>
      <c r="D51">
        <v>45404.81880508102</v>
      </c>
      <c r="E51">
        <v>19</v>
      </c>
      <c r="F51" t="s">
        <v>3</v>
      </c>
      <c r="G51" t="s">
        <v>19</v>
      </c>
      <c r="H51">
        <v>37.72</v>
      </c>
      <c r="I51" t="s">
        <v>7</v>
      </c>
    </row>
    <row r="52" spans="1:9" x14ac:dyDescent="0.3">
      <c r="A52" s="1">
        <v>45404</v>
      </c>
      <c r="B52">
        <v>2024</v>
      </c>
      <c r="C52">
        <v>4</v>
      </c>
      <c r="D52">
        <v>45404.778160000002</v>
      </c>
      <c r="E52">
        <v>18</v>
      </c>
      <c r="F52" t="s">
        <v>21</v>
      </c>
      <c r="H52">
        <v>39</v>
      </c>
      <c r="I52" t="s">
        <v>7</v>
      </c>
    </row>
    <row r="53" spans="1:9" x14ac:dyDescent="0.3">
      <c r="A53" s="1">
        <v>45404</v>
      </c>
      <c r="B53">
        <v>2024</v>
      </c>
      <c r="C53">
        <v>4</v>
      </c>
      <c r="D53">
        <v>45404.478785868057</v>
      </c>
      <c r="E53">
        <v>11</v>
      </c>
      <c r="F53" t="s">
        <v>3</v>
      </c>
      <c r="G53" t="s">
        <v>143</v>
      </c>
      <c r="H53">
        <v>32.82</v>
      </c>
      <c r="I53" t="s">
        <v>14</v>
      </c>
    </row>
    <row r="54" spans="1:9" x14ac:dyDescent="0.3">
      <c r="A54" s="1">
        <v>45404</v>
      </c>
      <c r="B54">
        <v>2024</v>
      </c>
      <c r="C54">
        <v>4</v>
      </c>
      <c r="D54">
        <v>45404.464773287036</v>
      </c>
      <c r="E54">
        <v>11</v>
      </c>
      <c r="F54" t="s">
        <v>3</v>
      </c>
      <c r="G54" t="s">
        <v>23</v>
      </c>
      <c r="H54">
        <v>27.92</v>
      </c>
      <c r="I54" t="s">
        <v>11</v>
      </c>
    </row>
    <row r="55" spans="1:9" x14ac:dyDescent="0.3">
      <c r="A55" s="1">
        <v>45403</v>
      </c>
      <c r="B55">
        <v>2024</v>
      </c>
      <c r="C55">
        <v>4</v>
      </c>
      <c r="D55">
        <v>45403.714620358798</v>
      </c>
      <c r="E55">
        <v>17</v>
      </c>
      <c r="F55" t="s">
        <v>21</v>
      </c>
      <c r="H55">
        <v>39</v>
      </c>
      <c r="I55" t="s">
        <v>43</v>
      </c>
    </row>
    <row r="56" spans="1:9" x14ac:dyDescent="0.3">
      <c r="A56" s="1">
        <v>45403</v>
      </c>
      <c r="B56">
        <v>2024</v>
      </c>
      <c r="C56">
        <v>4</v>
      </c>
      <c r="D56">
        <v>45403.594184502312</v>
      </c>
      <c r="E56">
        <v>14</v>
      </c>
      <c r="F56" t="s">
        <v>3</v>
      </c>
      <c r="G56" t="s">
        <v>113</v>
      </c>
      <c r="H56">
        <v>27.92</v>
      </c>
      <c r="I56" t="s">
        <v>11</v>
      </c>
    </row>
    <row r="57" spans="1:9" x14ac:dyDescent="0.3">
      <c r="A57" s="1">
        <v>45403</v>
      </c>
      <c r="B57">
        <v>2024</v>
      </c>
      <c r="C57">
        <v>4</v>
      </c>
      <c r="D57">
        <v>45403.469973460647</v>
      </c>
      <c r="E57">
        <v>11</v>
      </c>
      <c r="F57" t="s">
        <v>3</v>
      </c>
      <c r="G57" t="s">
        <v>6</v>
      </c>
      <c r="H57">
        <v>37.72</v>
      </c>
      <c r="I57" t="s">
        <v>7</v>
      </c>
    </row>
    <row r="58" spans="1:9" x14ac:dyDescent="0.3">
      <c r="A58" s="1">
        <v>45402</v>
      </c>
      <c r="B58">
        <v>2024</v>
      </c>
      <c r="C58">
        <v>4</v>
      </c>
      <c r="D58">
        <v>45402.813140243059</v>
      </c>
      <c r="E58">
        <v>19</v>
      </c>
      <c r="F58" t="s">
        <v>3</v>
      </c>
      <c r="G58" t="s">
        <v>142</v>
      </c>
      <c r="H58">
        <v>37.72</v>
      </c>
      <c r="I58" t="s">
        <v>7</v>
      </c>
    </row>
    <row r="59" spans="1:9" x14ac:dyDescent="0.3">
      <c r="A59" s="1">
        <v>45402</v>
      </c>
      <c r="B59">
        <v>2024</v>
      </c>
      <c r="C59">
        <v>4</v>
      </c>
      <c r="D59">
        <v>45402.769987268519</v>
      </c>
      <c r="E59">
        <v>18</v>
      </c>
      <c r="F59" t="s">
        <v>3</v>
      </c>
      <c r="G59" t="s">
        <v>141</v>
      </c>
      <c r="H59">
        <v>37.72</v>
      </c>
      <c r="I59" t="s">
        <v>43</v>
      </c>
    </row>
    <row r="60" spans="1:9" x14ac:dyDescent="0.3">
      <c r="A60" s="1">
        <v>45402</v>
      </c>
      <c r="B60">
        <v>2024</v>
      </c>
      <c r="C60">
        <v>4</v>
      </c>
      <c r="D60">
        <v>45402.76923027778</v>
      </c>
      <c r="E60">
        <v>18</v>
      </c>
      <c r="F60" t="s">
        <v>3</v>
      </c>
      <c r="G60" t="s">
        <v>141</v>
      </c>
      <c r="H60">
        <v>37.72</v>
      </c>
      <c r="I60" t="s">
        <v>43</v>
      </c>
    </row>
    <row r="61" spans="1:9" x14ac:dyDescent="0.3">
      <c r="A61" s="1">
        <v>45402</v>
      </c>
      <c r="B61">
        <v>2024</v>
      </c>
      <c r="C61">
        <v>4</v>
      </c>
      <c r="D61">
        <v>45402.713865381942</v>
      </c>
      <c r="E61">
        <v>17</v>
      </c>
      <c r="F61" t="s">
        <v>21</v>
      </c>
      <c r="H61">
        <v>39</v>
      </c>
      <c r="I61" t="s">
        <v>18</v>
      </c>
    </row>
    <row r="62" spans="1:9" x14ac:dyDescent="0.3">
      <c r="A62" s="1">
        <v>45402</v>
      </c>
      <c r="B62">
        <v>2024</v>
      </c>
      <c r="C62">
        <v>4</v>
      </c>
      <c r="D62">
        <v>45402.65931884259</v>
      </c>
      <c r="E62">
        <v>15</v>
      </c>
      <c r="F62" t="s">
        <v>3</v>
      </c>
      <c r="G62" t="s">
        <v>140</v>
      </c>
      <c r="H62">
        <v>32.82</v>
      </c>
      <c r="I62" t="s">
        <v>14</v>
      </c>
    </row>
    <row r="63" spans="1:9" x14ac:dyDescent="0.3">
      <c r="A63" s="1">
        <v>45402</v>
      </c>
      <c r="B63">
        <v>2024</v>
      </c>
      <c r="C63">
        <v>4</v>
      </c>
      <c r="D63">
        <v>45402.640749039354</v>
      </c>
      <c r="E63">
        <v>15</v>
      </c>
      <c r="F63" t="s">
        <v>3</v>
      </c>
      <c r="G63" t="s">
        <v>23</v>
      </c>
      <c r="H63">
        <v>32.82</v>
      </c>
      <c r="I63" t="s">
        <v>14</v>
      </c>
    </row>
    <row r="64" spans="1:9" x14ac:dyDescent="0.3">
      <c r="A64" s="1">
        <v>45402</v>
      </c>
      <c r="B64">
        <v>2024</v>
      </c>
      <c r="C64">
        <v>4</v>
      </c>
      <c r="D64">
        <v>45402.632642708333</v>
      </c>
      <c r="E64">
        <v>15</v>
      </c>
      <c r="F64" t="s">
        <v>3</v>
      </c>
      <c r="G64" t="s">
        <v>19</v>
      </c>
      <c r="H64">
        <v>33.799999999999997</v>
      </c>
      <c r="I64" t="s">
        <v>14</v>
      </c>
    </row>
    <row r="65" spans="1:9" x14ac:dyDescent="0.3">
      <c r="A65" s="1">
        <v>45402</v>
      </c>
      <c r="B65">
        <v>2024</v>
      </c>
      <c r="C65">
        <v>4</v>
      </c>
      <c r="D65">
        <v>45402.614098587961</v>
      </c>
      <c r="E65">
        <v>14</v>
      </c>
      <c r="F65" t="s">
        <v>3</v>
      </c>
      <c r="G65" t="s">
        <v>54</v>
      </c>
      <c r="H65">
        <v>38.700000000000003</v>
      </c>
      <c r="I65" t="s">
        <v>43</v>
      </c>
    </row>
    <row r="66" spans="1:9" x14ac:dyDescent="0.3">
      <c r="A66" s="1">
        <v>45402</v>
      </c>
      <c r="B66">
        <v>2024</v>
      </c>
      <c r="C66">
        <v>4</v>
      </c>
      <c r="D66">
        <v>45402.549249432872</v>
      </c>
      <c r="E66">
        <v>13</v>
      </c>
      <c r="F66" t="s">
        <v>3</v>
      </c>
      <c r="G66" t="s">
        <v>132</v>
      </c>
      <c r="H66">
        <v>38.700000000000003</v>
      </c>
      <c r="I66" t="s">
        <v>9</v>
      </c>
    </row>
    <row r="67" spans="1:9" x14ac:dyDescent="0.3">
      <c r="A67" s="1">
        <v>45402</v>
      </c>
      <c r="B67">
        <v>2024</v>
      </c>
      <c r="C67">
        <v>4</v>
      </c>
      <c r="D67">
        <v>45402.548471122682</v>
      </c>
      <c r="E67">
        <v>13</v>
      </c>
      <c r="F67" t="s">
        <v>3</v>
      </c>
      <c r="G67" t="s">
        <v>132</v>
      </c>
      <c r="H67">
        <v>33.799999999999997</v>
      </c>
      <c r="I67" t="s">
        <v>14</v>
      </c>
    </row>
    <row r="68" spans="1:9" x14ac:dyDescent="0.3">
      <c r="A68" s="1">
        <v>45402</v>
      </c>
      <c r="B68">
        <v>2024</v>
      </c>
      <c r="C68">
        <v>4</v>
      </c>
      <c r="D68">
        <v>45402.547654837967</v>
      </c>
      <c r="E68">
        <v>13</v>
      </c>
      <c r="F68" t="s">
        <v>3</v>
      </c>
      <c r="G68" t="s">
        <v>132</v>
      </c>
      <c r="H68">
        <v>28.9</v>
      </c>
      <c r="I68" t="s">
        <v>11</v>
      </c>
    </row>
    <row r="69" spans="1:9" x14ac:dyDescent="0.3">
      <c r="A69" s="1">
        <v>45402</v>
      </c>
      <c r="B69">
        <v>2024</v>
      </c>
      <c r="C69">
        <v>4</v>
      </c>
      <c r="D69">
        <v>45402.506743796293</v>
      </c>
      <c r="E69">
        <v>12</v>
      </c>
      <c r="F69" t="s">
        <v>3</v>
      </c>
      <c r="G69" t="s">
        <v>139</v>
      </c>
      <c r="H69">
        <v>33.799999999999997</v>
      </c>
      <c r="I69" t="s">
        <v>14</v>
      </c>
    </row>
    <row r="70" spans="1:9" x14ac:dyDescent="0.3">
      <c r="A70" s="1">
        <v>45402</v>
      </c>
      <c r="B70">
        <v>2024</v>
      </c>
      <c r="C70">
        <v>4</v>
      </c>
      <c r="D70">
        <v>45402.505968761572</v>
      </c>
      <c r="E70">
        <v>12</v>
      </c>
      <c r="F70" t="s">
        <v>3</v>
      </c>
      <c r="G70" t="s">
        <v>139</v>
      </c>
      <c r="H70">
        <v>33.799999999999997</v>
      </c>
      <c r="I70" t="s">
        <v>14</v>
      </c>
    </row>
    <row r="71" spans="1:9" x14ac:dyDescent="0.3">
      <c r="A71" s="1">
        <v>45402</v>
      </c>
      <c r="B71">
        <v>2024</v>
      </c>
      <c r="C71">
        <v>4</v>
      </c>
      <c r="D71">
        <v>45402.475493993057</v>
      </c>
      <c r="E71">
        <v>11</v>
      </c>
      <c r="F71" t="s">
        <v>21</v>
      </c>
      <c r="H71">
        <v>35</v>
      </c>
      <c r="I71" t="s">
        <v>14</v>
      </c>
    </row>
    <row r="72" spans="1:9" x14ac:dyDescent="0.3">
      <c r="A72" s="1">
        <v>45401</v>
      </c>
      <c r="B72">
        <v>2024</v>
      </c>
      <c r="C72">
        <v>4</v>
      </c>
      <c r="D72">
        <v>45401.767748148151</v>
      </c>
      <c r="E72">
        <v>18</v>
      </c>
      <c r="F72" t="s">
        <v>3</v>
      </c>
      <c r="G72" t="s">
        <v>19</v>
      </c>
      <c r="H72">
        <v>33.799999999999997</v>
      </c>
      <c r="I72" t="s">
        <v>14</v>
      </c>
    </row>
    <row r="73" spans="1:9" x14ac:dyDescent="0.3">
      <c r="A73" s="1">
        <v>45401</v>
      </c>
      <c r="B73">
        <v>2024</v>
      </c>
      <c r="C73">
        <v>4</v>
      </c>
      <c r="D73">
        <v>45401.766195729164</v>
      </c>
      <c r="E73">
        <v>18</v>
      </c>
      <c r="F73" t="s">
        <v>3</v>
      </c>
      <c r="G73" t="s">
        <v>37</v>
      </c>
      <c r="H73">
        <v>38.700000000000003</v>
      </c>
      <c r="I73" t="s">
        <v>18</v>
      </c>
    </row>
    <row r="74" spans="1:9" x14ac:dyDescent="0.3">
      <c r="A74" s="1">
        <v>45401</v>
      </c>
      <c r="B74">
        <v>2024</v>
      </c>
      <c r="C74">
        <v>4</v>
      </c>
      <c r="D74">
        <v>45401.583214004633</v>
      </c>
      <c r="E74">
        <v>13</v>
      </c>
      <c r="F74" t="s">
        <v>3</v>
      </c>
      <c r="G74" t="s">
        <v>138</v>
      </c>
      <c r="H74">
        <v>38.700000000000003</v>
      </c>
      <c r="I74" t="s">
        <v>43</v>
      </c>
    </row>
    <row r="75" spans="1:9" x14ac:dyDescent="0.3">
      <c r="A75" s="1">
        <v>45401</v>
      </c>
      <c r="B75">
        <v>2024</v>
      </c>
      <c r="C75">
        <v>4</v>
      </c>
      <c r="D75">
        <v>45401.582570185186</v>
      </c>
      <c r="E75">
        <v>13</v>
      </c>
      <c r="F75" t="s">
        <v>3</v>
      </c>
      <c r="G75" t="s">
        <v>138</v>
      </c>
      <c r="H75">
        <v>38.700000000000003</v>
      </c>
      <c r="I75" t="s">
        <v>9</v>
      </c>
    </row>
    <row r="76" spans="1:9" x14ac:dyDescent="0.3">
      <c r="A76" s="1">
        <v>45401</v>
      </c>
      <c r="B76">
        <v>2024</v>
      </c>
      <c r="C76">
        <v>4</v>
      </c>
      <c r="D76">
        <v>45401.550936064814</v>
      </c>
      <c r="E76">
        <v>13</v>
      </c>
      <c r="F76" t="s">
        <v>3</v>
      </c>
      <c r="G76" t="s">
        <v>54</v>
      </c>
      <c r="H76">
        <v>38.700000000000003</v>
      </c>
      <c r="I76" t="s">
        <v>43</v>
      </c>
    </row>
    <row r="77" spans="1:9" x14ac:dyDescent="0.3">
      <c r="A77" s="1">
        <v>45401</v>
      </c>
      <c r="B77">
        <v>2024</v>
      </c>
      <c r="C77">
        <v>4</v>
      </c>
      <c r="D77">
        <v>45401.54985935185</v>
      </c>
      <c r="E77">
        <v>13</v>
      </c>
      <c r="F77" t="s">
        <v>3</v>
      </c>
      <c r="G77" t="s">
        <v>54</v>
      </c>
      <c r="H77">
        <v>33.799999999999997</v>
      </c>
      <c r="I77" t="s">
        <v>14</v>
      </c>
    </row>
    <row r="78" spans="1:9" x14ac:dyDescent="0.3">
      <c r="A78" s="1">
        <v>45401</v>
      </c>
      <c r="B78">
        <v>2024</v>
      </c>
      <c r="C78">
        <v>4</v>
      </c>
      <c r="D78">
        <v>45401.424030717593</v>
      </c>
      <c r="E78">
        <v>10</v>
      </c>
      <c r="F78" t="s">
        <v>3</v>
      </c>
      <c r="G78" t="s">
        <v>6</v>
      </c>
      <c r="H78">
        <v>38.700000000000003</v>
      </c>
      <c r="I78" t="s">
        <v>7</v>
      </c>
    </row>
    <row r="79" spans="1:9" x14ac:dyDescent="0.3">
      <c r="A79" s="1">
        <v>45400</v>
      </c>
      <c r="B79">
        <v>2024</v>
      </c>
      <c r="C79">
        <v>4</v>
      </c>
      <c r="D79">
        <v>45400.820011041666</v>
      </c>
      <c r="E79">
        <v>19</v>
      </c>
      <c r="F79" t="s">
        <v>3</v>
      </c>
      <c r="G79" t="s">
        <v>19</v>
      </c>
      <c r="H79">
        <v>38.700000000000003</v>
      </c>
      <c r="I79" t="s">
        <v>9</v>
      </c>
    </row>
    <row r="80" spans="1:9" x14ac:dyDescent="0.3">
      <c r="A80" s="1">
        <v>45400</v>
      </c>
      <c r="B80">
        <v>2024</v>
      </c>
      <c r="C80">
        <v>4</v>
      </c>
      <c r="D80">
        <v>45400.819342511575</v>
      </c>
      <c r="E80">
        <v>19</v>
      </c>
      <c r="F80" t="s">
        <v>3</v>
      </c>
      <c r="G80" t="s">
        <v>37</v>
      </c>
      <c r="H80">
        <v>38.700000000000003</v>
      </c>
      <c r="I80" t="s">
        <v>9</v>
      </c>
    </row>
    <row r="81" spans="1:9" x14ac:dyDescent="0.3">
      <c r="A81" s="1">
        <v>45400</v>
      </c>
      <c r="B81">
        <v>2024</v>
      </c>
      <c r="C81">
        <v>4</v>
      </c>
      <c r="D81">
        <v>45400.764652141203</v>
      </c>
      <c r="E81">
        <v>18</v>
      </c>
      <c r="F81" t="s">
        <v>3</v>
      </c>
      <c r="G81" t="s">
        <v>99</v>
      </c>
      <c r="H81">
        <v>38.700000000000003</v>
      </c>
      <c r="I81" t="s">
        <v>43</v>
      </c>
    </row>
    <row r="82" spans="1:9" x14ac:dyDescent="0.3">
      <c r="A82" s="1">
        <v>45400</v>
      </c>
      <c r="B82">
        <v>2024</v>
      </c>
      <c r="C82">
        <v>4</v>
      </c>
      <c r="D82">
        <v>45400.739071655094</v>
      </c>
      <c r="E82">
        <v>17</v>
      </c>
      <c r="F82" t="s">
        <v>3</v>
      </c>
      <c r="G82" t="s">
        <v>83</v>
      </c>
      <c r="H82">
        <v>38.700000000000003</v>
      </c>
      <c r="I82" t="s">
        <v>7</v>
      </c>
    </row>
    <row r="83" spans="1:9" x14ac:dyDescent="0.3">
      <c r="A83" s="1">
        <v>45400</v>
      </c>
      <c r="B83">
        <v>2024</v>
      </c>
      <c r="C83">
        <v>4</v>
      </c>
      <c r="D83">
        <v>45400.608210115737</v>
      </c>
      <c r="E83">
        <v>14</v>
      </c>
      <c r="F83" t="s">
        <v>3</v>
      </c>
      <c r="G83" t="s">
        <v>137</v>
      </c>
      <c r="H83">
        <v>38.700000000000003</v>
      </c>
      <c r="I83" t="s">
        <v>7</v>
      </c>
    </row>
    <row r="84" spans="1:9" x14ac:dyDescent="0.3">
      <c r="A84" s="1">
        <v>45400</v>
      </c>
      <c r="B84">
        <v>2024</v>
      </c>
      <c r="C84">
        <v>4</v>
      </c>
      <c r="D84">
        <v>45400.607173819444</v>
      </c>
      <c r="E84">
        <v>14</v>
      </c>
      <c r="F84" t="s">
        <v>3</v>
      </c>
      <c r="G84" t="s">
        <v>137</v>
      </c>
      <c r="H84">
        <v>38.700000000000003</v>
      </c>
      <c r="I84" t="s">
        <v>43</v>
      </c>
    </row>
    <row r="85" spans="1:9" x14ac:dyDescent="0.3">
      <c r="A85" s="1">
        <v>45400</v>
      </c>
      <c r="B85">
        <v>2024</v>
      </c>
      <c r="C85">
        <v>4</v>
      </c>
      <c r="D85">
        <v>45400.576588946758</v>
      </c>
      <c r="E85">
        <v>13</v>
      </c>
      <c r="F85" t="s">
        <v>3</v>
      </c>
      <c r="G85" t="s">
        <v>136</v>
      </c>
      <c r="H85">
        <v>28.9</v>
      </c>
      <c r="I85" t="s">
        <v>28</v>
      </c>
    </row>
    <row r="86" spans="1:9" x14ac:dyDescent="0.3">
      <c r="A86" s="1">
        <v>45400</v>
      </c>
      <c r="B86">
        <v>2024</v>
      </c>
      <c r="C86">
        <v>4</v>
      </c>
      <c r="D86">
        <v>45400.575841666665</v>
      </c>
      <c r="E86">
        <v>13</v>
      </c>
      <c r="F86" t="s">
        <v>3</v>
      </c>
      <c r="G86" t="s">
        <v>136</v>
      </c>
      <c r="H86">
        <v>33.799999999999997</v>
      </c>
      <c r="I86" t="s">
        <v>14</v>
      </c>
    </row>
    <row r="87" spans="1:9" x14ac:dyDescent="0.3">
      <c r="A87" s="1">
        <v>45400</v>
      </c>
      <c r="B87">
        <v>2024</v>
      </c>
      <c r="C87">
        <v>4</v>
      </c>
      <c r="D87">
        <v>45400.47228814815</v>
      </c>
      <c r="E87">
        <v>11</v>
      </c>
      <c r="F87" t="s">
        <v>3</v>
      </c>
      <c r="G87" t="s">
        <v>10</v>
      </c>
      <c r="H87">
        <v>28.9</v>
      </c>
      <c r="I87" t="s">
        <v>11</v>
      </c>
    </row>
    <row r="88" spans="1:9" x14ac:dyDescent="0.3">
      <c r="A88" s="1">
        <v>45400</v>
      </c>
      <c r="B88">
        <v>2024</v>
      </c>
      <c r="C88">
        <v>4</v>
      </c>
      <c r="D88">
        <v>45400.471547372683</v>
      </c>
      <c r="E88">
        <v>11</v>
      </c>
      <c r="F88" t="s">
        <v>3</v>
      </c>
      <c r="G88" t="s">
        <v>10</v>
      </c>
      <c r="H88">
        <v>28.9</v>
      </c>
      <c r="I88" t="s">
        <v>11</v>
      </c>
    </row>
    <row r="89" spans="1:9" x14ac:dyDescent="0.3">
      <c r="A89" s="1">
        <v>45399</v>
      </c>
      <c r="B89">
        <v>2024</v>
      </c>
      <c r="C89">
        <v>4</v>
      </c>
      <c r="D89">
        <v>45399.759759594905</v>
      </c>
      <c r="E89">
        <v>18</v>
      </c>
      <c r="F89" t="s">
        <v>3</v>
      </c>
      <c r="G89" t="s">
        <v>135</v>
      </c>
      <c r="H89">
        <v>28.9</v>
      </c>
      <c r="I89" t="s">
        <v>28</v>
      </c>
    </row>
    <row r="90" spans="1:9" x14ac:dyDescent="0.3">
      <c r="A90" s="1">
        <v>45399</v>
      </c>
      <c r="B90">
        <v>2024</v>
      </c>
      <c r="C90">
        <v>4</v>
      </c>
      <c r="D90">
        <v>45399.710193136576</v>
      </c>
      <c r="E90">
        <v>17</v>
      </c>
      <c r="F90" t="s">
        <v>3</v>
      </c>
      <c r="G90" t="s">
        <v>134</v>
      </c>
      <c r="H90">
        <v>38.700000000000003</v>
      </c>
      <c r="I90" t="s">
        <v>43</v>
      </c>
    </row>
    <row r="91" spans="1:9" x14ac:dyDescent="0.3">
      <c r="A91" s="1">
        <v>45399</v>
      </c>
      <c r="B91">
        <v>2024</v>
      </c>
      <c r="C91">
        <v>4</v>
      </c>
      <c r="D91">
        <v>45399.709434594908</v>
      </c>
      <c r="E91">
        <v>17</v>
      </c>
      <c r="F91" t="s">
        <v>3</v>
      </c>
      <c r="G91" t="s">
        <v>134</v>
      </c>
      <c r="H91">
        <v>38.700000000000003</v>
      </c>
      <c r="I91" t="s">
        <v>43</v>
      </c>
    </row>
    <row r="92" spans="1:9" x14ac:dyDescent="0.3">
      <c r="A92" s="1">
        <v>45399</v>
      </c>
      <c r="B92">
        <v>2024</v>
      </c>
      <c r="C92">
        <v>4</v>
      </c>
      <c r="D92">
        <v>45399.675975810183</v>
      </c>
      <c r="E92">
        <v>16</v>
      </c>
      <c r="F92" t="s">
        <v>21</v>
      </c>
      <c r="H92">
        <v>40</v>
      </c>
      <c r="I92" t="s">
        <v>43</v>
      </c>
    </row>
    <row r="93" spans="1:9" x14ac:dyDescent="0.3">
      <c r="A93" s="1">
        <v>45399</v>
      </c>
      <c r="B93">
        <v>2024</v>
      </c>
      <c r="C93">
        <v>4</v>
      </c>
      <c r="D93">
        <v>45399.572224317133</v>
      </c>
      <c r="E93">
        <v>13</v>
      </c>
      <c r="F93" t="s">
        <v>3</v>
      </c>
      <c r="G93" t="s">
        <v>133</v>
      </c>
      <c r="H93">
        <v>24</v>
      </c>
      <c r="I93" t="s">
        <v>35</v>
      </c>
    </row>
    <row r="94" spans="1:9" x14ac:dyDescent="0.3">
      <c r="A94" s="1">
        <v>45399</v>
      </c>
      <c r="B94">
        <v>2024</v>
      </c>
      <c r="C94">
        <v>4</v>
      </c>
      <c r="D94">
        <v>45399.564580925929</v>
      </c>
      <c r="E94">
        <v>13</v>
      </c>
      <c r="F94" t="s">
        <v>3</v>
      </c>
      <c r="G94" t="s">
        <v>23</v>
      </c>
      <c r="H94">
        <v>28.9</v>
      </c>
      <c r="I94" t="s">
        <v>11</v>
      </c>
    </row>
    <row r="95" spans="1:9" x14ac:dyDescent="0.3">
      <c r="A95" s="1">
        <v>45398</v>
      </c>
      <c r="B95">
        <v>2024</v>
      </c>
      <c r="C95">
        <v>4</v>
      </c>
      <c r="D95">
        <v>45398.756311030091</v>
      </c>
      <c r="E95">
        <v>18</v>
      </c>
      <c r="F95" t="s">
        <v>3</v>
      </c>
      <c r="G95" t="s">
        <v>64</v>
      </c>
      <c r="H95">
        <v>38.700000000000003</v>
      </c>
      <c r="I95" t="s">
        <v>18</v>
      </c>
    </row>
    <row r="96" spans="1:9" x14ac:dyDescent="0.3">
      <c r="A96" s="1">
        <v>45398</v>
      </c>
      <c r="B96">
        <v>2024</v>
      </c>
      <c r="C96">
        <v>4</v>
      </c>
      <c r="D96">
        <v>45398.738460185188</v>
      </c>
      <c r="E96">
        <v>17</v>
      </c>
      <c r="F96" t="s">
        <v>3</v>
      </c>
      <c r="G96" t="s">
        <v>19</v>
      </c>
      <c r="H96">
        <v>38.700000000000003</v>
      </c>
      <c r="I96" t="s">
        <v>43</v>
      </c>
    </row>
    <row r="97" spans="1:9" x14ac:dyDescent="0.3">
      <c r="A97" s="1">
        <v>45398</v>
      </c>
      <c r="B97">
        <v>2024</v>
      </c>
      <c r="C97">
        <v>4</v>
      </c>
      <c r="D97">
        <v>45398.737548703706</v>
      </c>
      <c r="E97">
        <v>17</v>
      </c>
      <c r="F97" t="s">
        <v>3</v>
      </c>
      <c r="G97" t="s">
        <v>37</v>
      </c>
      <c r="H97">
        <v>33.799999999999997</v>
      </c>
      <c r="I97" t="s">
        <v>14</v>
      </c>
    </row>
    <row r="98" spans="1:9" x14ac:dyDescent="0.3">
      <c r="A98" s="1">
        <v>45398</v>
      </c>
      <c r="B98">
        <v>2024</v>
      </c>
      <c r="C98">
        <v>4</v>
      </c>
      <c r="D98">
        <v>45398.627278807871</v>
      </c>
      <c r="E98">
        <v>15</v>
      </c>
      <c r="F98" t="s">
        <v>3</v>
      </c>
      <c r="G98" t="s">
        <v>132</v>
      </c>
      <c r="H98">
        <v>28.9</v>
      </c>
      <c r="I98" t="s">
        <v>11</v>
      </c>
    </row>
    <row r="99" spans="1:9" x14ac:dyDescent="0.3">
      <c r="A99" s="1">
        <v>45398</v>
      </c>
      <c r="B99">
        <v>2024</v>
      </c>
      <c r="C99">
        <v>4</v>
      </c>
      <c r="D99">
        <v>45398.536200810187</v>
      </c>
      <c r="E99">
        <v>12</v>
      </c>
      <c r="F99" t="s">
        <v>3</v>
      </c>
      <c r="G99" t="s">
        <v>78</v>
      </c>
      <c r="H99">
        <v>28.9</v>
      </c>
      <c r="I99" t="s">
        <v>28</v>
      </c>
    </row>
    <row r="100" spans="1:9" x14ac:dyDescent="0.3">
      <c r="A100" s="1">
        <v>45398</v>
      </c>
      <c r="B100">
        <v>2024</v>
      </c>
      <c r="C100">
        <v>4</v>
      </c>
      <c r="D100">
        <v>45398.52832957176</v>
      </c>
      <c r="E100">
        <v>12</v>
      </c>
      <c r="F100" t="s">
        <v>3</v>
      </c>
      <c r="G100" t="s">
        <v>131</v>
      </c>
      <c r="H100">
        <v>38.700000000000003</v>
      </c>
      <c r="I100" t="s">
        <v>18</v>
      </c>
    </row>
    <row r="101" spans="1:9" x14ac:dyDescent="0.3">
      <c r="A101" s="1">
        <v>45398</v>
      </c>
      <c r="B101">
        <v>2024</v>
      </c>
      <c r="C101">
        <v>4</v>
      </c>
      <c r="D101">
        <v>45398.448908634258</v>
      </c>
      <c r="E101">
        <v>10</v>
      </c>
      <c r="F101" t="s">
        <v>3</v>
      </c>
      <c r="G101" t="s">
        <v>130</v>
      </c>
      <c r="H101">
        <v>33.799999999999997</v>
      </c>
      <c r="I101" t="s">
        <v>14</v>
      </c>
    </row>
    <row r="102" spans="1:9" x14ac:dyDescent="0.3">
      <c r="A102" s="1">
        <v>45398</v>
      </c>
      <c r="B102">
        <v>2024</v>
      </c>
      <c r="C102">
        <v>4</v>
      </c>
      <c r="D102">
        <v>45398.447105405095</v>
      </c>
      <c r="E102">
        <v>10</v>
      </c>
      <c r="F102" t="s">
        <v>21</v>
      </c>
      <c r="H102">
        <v>35</v>
      </c>
      <c r="I102" t="s">
        <v>14</v>
      </c>
    </row>
    <row r="103" spans="1:9" x14ac:dyDescent="0.3">
      <c r="A103" s="1">
        <v>45397</v>
      </c>
      <c r="B103">
        <v>2024</v>
      </c>
      <c r="C103">
        <v>4</v>
      </c>
      <c r="D103">
        <v>45397.820811481484</v>
      </c>
      <c r="E103">
        <v>19</v>
      </c>
      <c r="F103" t="s">
        <v>21</v>
      </c>
      <c r="H103">
        <v>25</v>
      </c>
      <c r="I103" t="s">
        <v>35</v>
      </c>
    </row>
    <row r="104" spans="1:9" x14ac:dyDescent="0.3">
      <c r="A104" s="1">
        <v>45397</v>
      </c>
      <c r="B104">
        <v>2024</v>
      </c>
      <c r="C104">
        <v>4</v>
      </c>
      <c r="D104">
        <v>45397.814618472221</v>
      </c>
      <c r="E104">
        <v>19</v>
      </c>
      <c r="F104" t="s">
        <v>3</v>
      </c>
      <c r="G104" t="s">
        <v>19</v>
      </c>
      <c r="H104">
        <v>33.799999999999997</v>
      </c>
      <c r="I104" t="s">
        <v>14</v>
      </c>
    </row>
    <row r="105" spans="1:9" x14ac:dyDescent="0.3">
      <c r="A105" s="1">
        <v>45397</v>
      </c>
      <c r="B105">
        <v>2024</v>
      </c>
      <c r="C105">
        <v>4</v>
      </c>
      <c r="D105">
        <v>45397.71029800926</v>
      </c>
      <c r="E105">
        <v>17</v>
      </c>
      <c r="F105" t="s">
        <v>3</v>
      </c>
      <c r="G105" t="s">
        <v>12</v>
      </c>
      <c r="H105">
        <v>33.799999999999997</v>
      </c>
      <c r="I105" t="s">
        <v>14</v>
      </c>
    </row>
    <row r="106" spans="1:9" x14ac:dyDescent="0.3">
      <c r="A106" s="1">
        <v>45397</v>
      </c>
      <c r="B106">
        <v>2024</v>
      </c>
      <c r="C106">
        <v>4</v>
      </c>
      <c r="D106">
        <v>45397.709564340279</v>
      </c>
      <c r="E106">
        <v>17</v>
      </c>
      <c r="F106" t="s">
        <v>3</v>
      </c>
      <c r="G106" t="s">
        <v>10</v>
      </c>
      <c r="H106">
        <v>28.9</v>
      </c>
      <c r="I106" t="s">
        <v>11</v>
      </c>
    </row>
    <row r="107" spans="1:9" x14ac:dyDescent="0.3">
      <c r="A107" s="1">
        <v>45397</v>
      </c>
      <c r="B107">
        <v>2024</v>
      </c>
      <c r="C107">
        <v>4</v>
      </c>
      <c r="D107">
        <v>45397.489868275465</v>
      </c>
      <c r="E107">
        <v>11</v>
      </c>
      <c r="F107" t="s">
        <v>3</v>
      </c>
      <c r="G107" t="s">
        <v>78</v>
      </c>
      <c r="H107">
        <v>28.9</v>
      </c>
      <c r="I107" t="s">
        <v>11</v>
      </c>
    </row>
    <row r="108" spans="1:9" x14ac:dyDescent="0.3">
      <c r="A108" s="1">
        <v>45396</v>
      </c>
      <c r="B108">
        <v>2024</v>
      </c>
      <c r="C108">
        <v>4</v>
      </c>
      <c r="D108">
        <v>45396.77661630787</v>
      </c>
      <c r="E108">
        <v>18</v>
      </c>
      <c r="F108" t="s">
        <v>3</v>
      </c>
      <c r="G108" t="s">
        <v>129</v>
      </c>
      <c r="H108">
        <v>38.700000000000003</v>
      </c>
      <c r="I108" t="s">
        <v>43</v>
      </c>
    </row>
    <row r="109" spans="1:9" x14ac:dyDescent="0.3">
      <c r="A109" s="1">
        <v>45396</v>
      </c>
      <c r="B109">
        <v>2024</v>
      </c>
      <c r="C109">
        <v>4</v>
      </c>
      <c r="D109">
        <v>45396.708858645834</v>
      </c>
      <c r="E109">
        <v>17</v>
      </c>
      <c r="F109" t="s">
        <v>3</v>
      </c>
      <c r="G109" t="s">
        <v>31</v>
      </c>
      <c r="H109">
        <v>38.700000000000003</v>
      </c>
      <c r="I109" t="s">
        <v>7</v>
      </c>
    </row>
    <row r="110" spans="1:9" x14ac:dyDescent="0.3">
      <c r="A110" s="1">
        <v>45396</v>
      </c>
      <c r="B110">
        <v>2024</v>
      </c>
      <c r="C110">
        <v>4</v>
      </c>
      <c r="D110">
        <v>45396.708273414355</v>
      </c>
      <c r="E110">
        <v>16</v>
      </c>
      <c r="F110" t="s">
        <v>3</v>
      </c>
      <c r="G110" t="s">
        <v>23</v>
      </c>
      <c r="H110">
        <v>28.9</v>
      </c>
      <c r="I110" t="s">
        <v>28</v>
      </c>
    </row>
    <row r="111" spans="1:9" x14ac:dyDescent="0.3">
      <c r="A111" s="1">
        <v>45396</v>
      </c>
      <c r="B111">
        <v>2024</v>
      </c>
      <c r="C111">
        <v>4</v>
      </c>
      <c r="D111">
        <v>45396.657265428243</v>
      </c>
      <c r="E111">
        <v>15</v>
      </c>
      <c r="F111" t="s">
        <v>3</v>
      </c>
      <c r="G111" t="s">
        <v>29</v>
      </c>
      <c r="H111">
        <v>38.700000000000003</v>
      </c>
      <c r="I111" t="s">
        <v>43</v>
      </c>
    </row>
    <row r="112" spans="1:9" x14ac:dyDescent="0.3">
      <c r="A112" s="1">
        <v>45396</v>
      </c>
      <c r="B112">
        <v>2024</v>
      </c>
      <c r="C112">
        <v>4</v>
      </c>
      <c r="D112">
        <v>45396.600904189814</v>
      </c>
      <c r="E112">
        <v>14</v>
      </c>
      <c r="F112" t="s">
        <v>3</v>
      </c>
      <c r="G112" t="s">
        <v>23</v>
      </c>
      <c r="H112">
        <v>28.9</v>
      </c>
      <c r="I112" t="s">
        <v>11</v>
      </c>
    </row>
    <row r="113" spans="1:9" x14ac:dyDescent="0.3">
      <c r="A113" s="1">
        <v>45396</v>
      </c>
      <c r="B113">
        <v>2024</v>
      </c>
      <c r="C113">
        <v>4</v>
      </c>
      <c r="D113">
        <v>45396.600311689814</v>
      </c>
      <c r="E113">
        <v>14</v>
      </c>
      <c r="F113" t="s">
        <v>3</v>
      </c>
      <c r="G113" t="s">
        <v>23</v>
      </c>
      <c r="H113">
        <v>28.9</v>
      </c>
      <c r="I113" t="s">
        <v>11</v>
      </c>
    </row>
    <row r="114" spans="1:9" x14ac:dyDescent="0.3">
      <c r="A114" s="1">
        <v>45396</v>
      </c>
      <c r="B114">
        <v>2024</v>
      </c>
      <c r="C114">
        <v>4</v>
      </c>
      <c r="D114">
        <v>45396.599671655094</v>
      </c>
      <c r="E114">
        <v>14</v>
      </c>
      <c r="F114" t="s">
        <v>3</v>
      </c>
      <c r="G114" t="s">
        <v>23</v>
      </c>
      <c r="H114">
        <v>28.9</v>
      </c>
      <c r="I114" t="s">
        <v>11</v>
      </c>
    </row>
    <row r="115" spans="1:9" x14ac:dyDescent="0.3">
      <c r="A115" s="1">
        <v>45396</v>
      </c>
      <c r="B115">
        <v>2024</v>
      </c>
      <c r="C115">
        <v>4</v>
      </c>
      <c r="D115">
        <v>45396.556826481479</v>
      </c>
      <c r="E115">
        <v>13</v>
      </c>
      <c r="F115" t="s">
        <v>3</v>
      </c>
      <c r="G115" t="s">
        <v>128</v>
      </c>
      <c r="H115">
        <v>28.9</v>
      </c>
      <c r="I115" t="s">
        <v>28</v>
      </c>
    </row>
    <row r="116" spans="1:9" x14ac:dyDescent="0.3">
      <c r="A116" s="1">
        <v>45396</v>
      </c>
      <c r="B116">
        <v>2024</v>
      </c>
      <c r="C116">
        <v>4</v>
      </c>
      <c r="D116">
        <v>45396.52194486111</v>
      </c>
      <c r="E116">
        <v>12</v>
      </c>
      <c r="F116" t="s">
        <v>21</v>
      </c>
      <c r="H116">
        <v>35</v>
      </c>
      <c r="I116" t="s">
        <v>14</v>
      </c>
    </row>
    <row r="117" spans="1:9" x14ac:dyDescent="0.3">
      <c r="A117" s="1">
        <v>45396</v>
      </c>
      <c r="B117">
        <v>2024</v>
      </c>
      <c r="C117">
        <v>4</v>
      </c>
      <c r="D117">
        <v>45396.520218483798</v>
      </c>
      <c r="E117">
        <v>12</v>
      </c>
      <c r="F117" t="s">
        <v>21</v>
      </c>
      <c r="H117">
        <v>30</v>
      </c>
      <c r="I117" t="s">
        <v>28</v>
      </c>
    </row>
    <row r="118" spans="1:9" x14ac:dyDescent="0.3">
      <c r="A118" s="1">
        <v>45396</v>
      </c>
      <c r="B118">
        <v>2024</v>
      </c>
      <c r="C118">
        <v>4</v>
      </c>
      <c r="D118">
        <v>45396.51885359954</v>
      </c>
      <c r="E118">
        <v>12</v>
      </c>
      <c r="F118" t="s">
        <v>21</v>
      </c>
      <c r="H118">
        <v>30</v>
      </c>
      <c r="I118" t="s">
        <v>28</v>
      </c>
    </row>
    <row r="119" spans="1:9" x14ac:dyDescent="0.3">
      <c r="A119" s="1">
        <v>45396</v>
      </c>
      <c r="B119">
        <v>2024</v>
      </c>
      <c r="C119">
        <v>4</v>
      </c>
      <c r="D119">
        <v>45396.517118379626</v>
      </c>
      <c r="E119">
        <v>12</v>
      </c>
      <c r="F119" t="s">
        <v>3</v>
      </c>
      <c r="G119" t="s">
        <v>127</v>
      </c>
      <c r="H119">
        <v>38.700000000000003</v>
      </c>
      <c r="I119" t="s">
        <v>43</v>
      </c>
    </row>
    <row r="120" spans="1:9" x14ac:dyDescent="0.3">
      <c r="A120" s="1">
        <v>45396</v>
      </c>
      <c r="B120">
        <v>2024</v>
      </c>
      <c r="C120">
        <v>4</v>
      </c>
      <c r="D120">
        <v>45396.455178310185</v>
      </c>
      <c r="E120">
        <v>10</v>
      </c>
      <c r="F120" t="s">
        <v>21</v>
      </c>
      <c r="H120">
        <v>40</v>
      </c>
      <c r="I120" t="s">
        <v>7</v>
      </c>
    </row>
    <row r="121" spans="1:9" x14ac:dyDescent="0.3">
      <c r="A121" s="1">
        <v>45395</v>
      </c>
      <c r="B121">
        <v>2024</v>
      </c>
      <c r="C121">
        <v>4</v>
      </c>
      <c r="D121">
        <v>45395.745361539353</v>
      </c>
      <c r="E121">
        <v>17</v>
      </c>
      <c r="F121" t="s">
        <v>3</v>
      </c>
      <c r="G121" t="s">
        <v>23</v>
      </c>
      <c r="H121">
        <v>38.700000000000003</v>
      </c>
      <c r="I121" t="s">
        <v>43</v>
      </c>
    </row>
    <row r="122" spans="1:9" x14ac:dyDescent="0.3">
      <c r="A122" s="1">
        <v>45395</v>
      </c>
      <c r="B122">
        <v>2024</v>
      </c>
      <c r="C122">
        <v>4</v>
      </c>
      <c r="D122">
        <v>45395.744051226851</v>
      </c>
      <c r="E122">
        <v>17</v>
      </c>
      <c r="F122" t="s">
        <v>3</v>
      </c>
      <c r="G122" t="s">
        <v>126</v>
      </c>
      <c r="H122">
        <v>38.700000000000003</v>
      </c>
      <c r="I122" t="s">
        <v>43</v>
      </c>
    </row>
    <row r="123" spans="1:9" x14ac:dyDescent="0.3">
      <c r="A123" s="1">
        <v>45395</v>
      </c>
      <c r="B123">
        <v>2024</v>
      </c>
      <c r="C123">
        <v>4</v>
      </c>
      <c r="D123">
        <v>45395.680321747685</v>
      </c>
      <c r="E123">
        <v>16</v>
      </c>
      <c r="F123" t="s">
        <v>3</v>
      </c>
      <c r="G123" t="s">
        <v>125</v>
      </c>
      <c r="H123">
        <v>38.700000000000003</v>
      </c>
      <c r="I123" t="s">
        <v>7</v>
      </c>
    </row>
    <row r="124" spans="1:9" x14ac:dyDescent="0.3">
      <c r="A124" s="1">
        <v>45395</v>
      </c>
      <c r="B124">
        <v>2024</v>
      </c>
      <c r="C124">
        <v>4</v>
      </c>
      <c r="D124">
        <v>45395.67921224537</v>
      </c>
      <c r="E124">
        <v>16</v>
      </c>
      <c r="F124" t="s">
        <v>3</v>
      </c>
      <c r="G124" t="s">
        <v>125</v>
      </c>
      <c r="H124">
        <v>38.700000000000003</v>
      </c>
      <c r="I124" t="s">
        <v>43</v>
      </c>
    </row>
    <row r="125" spans="1:9" x14ac:dyDescent="0.3">
      <c r="A125" s="1">
        <v>45395</v>
      </c>
      <c r="B125">
        <v>2024</v>
      </c>
      <c r="C125">
        <v>4</v>
      </c>
      <c r="D125">
        <v>45395.630508865739</v>
      </c>
      <c r="E125">
        <v>15</v>
      </c>
      <c r="F125" t="s">
        <v>21</v>
      </c>
      <c r="H125">
        <v>40</v>
      </c>
      <c r="I125" t="s">
        <v>9</v>
      </c>
    </row>
    <row r="126" spans="1:9" x14ac:dyDescent="0.3">
      <c r="A126" s="1">
        <v>45395</v>
      </c>
      <c r="B126">
        <v>2024</v>
      </c>
      <c r="C126">
        <v>4</v>
      </c>
      <c r="D126">
        <v>45395.629771898151</v>
      </c>
      <c r="E126">
        <v>15</v>
      </c>
      <c r="F126" t="s">
        <v>21</v>
      </c>
      <c r="H126">
        <v>40</v>
      </c>
      <c r="I126" t="s">
        <v>9</v>
      </c>
    </row>
    <row r="127" spans="1:9" x14ac:dyDescent="0.3">
      <c r="A127" s="1">
        <v>45395</v>
      </c>
      <c r="B127">
        <v>2024</v>
      </c>
      <c r="C127">
        <v>4</v>
      </c>
      <c r="D127">
        <v>45395.529888761572</v>
      </c>
      <c r="E127">
        <v>12</v>
      </c>
      <c r="F127" t="s">
        <v>3</v>
      </c>
      <c r="G127" t="s">
        <v>23</v>
      </c>
      <c r="H127">
        <v>28.9</v>
      </c>
      <c r="I127" t="s">
        <v>11</v>
      </c>
    </row>
    <row r="128" spans="1:9" x14ac:dyDescent="0.3">
      <c r="A128" s="1">
        <v>45395</v>
      </c>
      <c r="B128">
        <v>2024</v>
      </c>
      <c r="C128">
        <v>4</v>
      </c>
      <c r="D128">
        <v>45395.520368321762</v>
      </c>
      <c r="E128">
        <v>12</v>
      </c>
      <c r="F128" t="s">
        <v>3</v>
      </c>
      <c r="G128" t="s">
        <v>19</v>
      </c>
      <c r="H128">
        <v>38.700000000000003</v>
      </c>
      <c r="I128" t="s">
        <v>7</v>
      </c>
    </row>
    <row r="129" spans="1:9" x14ac:dyDescent="0.3">
      <c r="A129" s="1">
        <v>45394</v>
      </c>
      <c r="B129">
        <v>2024</v>
      </c>
      <c r="C129">
        <v>4</v>
      </c>
      <c r="D129">
        <v>45394.818323946762</v>
      </c>
      <c r="E129">
        <v>19</v>
      </c>
      <c r="F129" t="s">
        <v>3</v>
      </c>
      <c r="G129" t="s">
        <v>19</v>
      </c>
      <c r="H129">
        <v>28.9</v>
      </c>
      <c r="I129" t="s">
        <v>28</v>
      </c>
    </row>
    <row r="130" spans="1:9" x14ac:dyDescent="0.3">
      <c r="A130" s="1">
        <v>45394</v>
      </c>
      <c r="B130">
        <v>2024</v>
      </c>
      <c r="C130">
        <v>4</v>
      </c>
      <c r="D130">
        <v>45394.794252349537</v>
      </c>
      <c r="E130">
        <v>19</v>
      </c>
      <c r="F130" t="s">
        <v>3</v>
      </c>
      <c r="G130" t="s">
        <v>31</v>
      </c>
      <c r="H130">
        <v>38.700000000000003</v>
      </c>
      <c r="I130" t="s">
        <v>9</v>
      </c>
    </row>
    <row r="131" spans="1:9" x14ac:dyDescent="0.3">
      <c r="A131" s="1">
        <v>45393</v>
      </c>
      <c r="B131">
        <v>2024</v>
      </c>
      <c r="C131">
        <v>4</v>
      </c>
      <c r="D131">
        <v>45393.804590497683</v>
      </c>
      <c r="E131">
        <v>19</v>
      </c>
      <c r="F131" t="s">
        <v>3</v>
      </c>
      <c r="G131" t="s">
        <v>37</v>
      </c>
      <c r="H131">
        <v>33.799999999999997</v>
      </c>
      <c r="I131" t="s">
        <v>14</v>
      </c>
    </row>
    <row r="132" spans="1:9" x14ac:dyDescent="0.3">
      <c r="A132" s="1">
        <v>45393</v>
      </c>
      <c r="B132">
        <v>2024</v>
      </c>
      <c r="C132">
        <v>4</v>
      </c>
      <c r="D132">
        <v>45393.803432731482</v>
      </c>
      <c r="E132">
        <v>19</v>
      </c>
      <c r="F132" t="s">
        <v>3</v>
      </c>
      <c r="G132" t="s">
        <v>120</v>
      </c>
      <c r="H132">
        <v>38.700000000000003</v>
      </c>
      <c r="I132" t="s">
        <v>43</v>
      </c>
    </row>
    <row r="133" spans="1:9" x14ac:dyDescent="0.3">
      <c r="A133" s="1">
        <v>45393</v>
      </c>
      <c r="B133">
        <v>2024</v>
      </c>
      <c r="C133">
        <v>4</v>
      </c>
      <c r="D133">
        <v>45393.691239224536</v>
      </c>
      <c r="E133">
        <v>16</v>
      </c>
      <c r="F133" t="s">
        <v>3</v>
      </c>
      <c r="G133" t="s">
        <v>29</v>
      </c>
      <c r="H133">
        <v>38.700000000000003</v>
      </c>
      <c r="I133" t="s">
        <v>7</v>
      </c>
    </row>
    <row r="134" spans="1:9" x14ac:dyDescent="0.3">
      <c r="A134" s="1">
        <v>45393</v>
      </c>
      <c r="B134">
        <v>2024</v>
      </c>
      <c r="C134">
        <v>4</v>
      </c>
      <c r="D134">
        <v>45393.446520428239</v>
      </c>
      <c r="E134">
        <v>10</v>
      </c>
      <c r="F134" t="s">
        <v>3</v>
      </c>
      <c r="G134" t="s">
        <v>124</v>
      </c>
      <c r="H134">
        <v>28.9</v>
      </c>
      <c r="I134" t="s">
        <v>11</v>
      </c>
    </row>
    <row r="135" spans="1:9" x14ac:dyDescent="0.3">
      <c r="A135" s="1">
        <v>45393</v>
      </c>
      <c r="B135">
        <v>2024</v>
      </c>
      <c r="C135">
        <v>4</v>
      </c>
      <c r="D135">
        <v>45393.445406886574</v>
      </c>
      <c r="E135">
        <v>10</v>
      </c>
      <c r="F135" t="s">
        <v>3</v>
      </c>
      <c r="G135" t="s">
        <v>124</v>
      </c>
      <c r="H135">
        <v>28.9</v>
      </c>
      <c r="I135" t="s">
        <v>11</v>
      </c>
    </row>
    <row r="136" spans="1:9" x14ac:dyDescent="0.3">
      <c r="A136" s="1">
        <v>45392</v>
      </c>
      <c r="B136">
        <v>2024</v>
      </c>
      <c r="C136">
        <v>4</v>
      </c>
      <c r="D136">
        <v>45392.836173449075</v>
      </c>
      <c r="E136">
        <v>20</v>
      </c>
      <c r="F136" t="s">
        <v>3</v>
      </c>
      <c r="G136" t="s">
        <v>123</v>
      </c>
      <c r="H136">
        <v>38.700000000000003</v>
      </c>
      <c r="I136" t="s">
        <v>7</v>
      </c>
    </row>
    <row r="137" spans="1:9" x14ac:dyDescent="0.3">
      <c r="A137" s="1">
        <v>45392</v>
      </c>
      <c r="B137">
        <v>2024</v>
      </c>
      <c r="C137">
        <v>4</v>
      </c>
      <c r="D137">
        <v>45392.767352893519</v>
      </c>
      <c r="E137">
        <v>18</v>
      </c>
      <c r="F137" t="s">
        <v>3</v>
      </c>
      <c r="G137" t="s">
        <v>19</v>
      </c>
      <c r="H137">
        <v>38.700000000000003</v>
      </c>
      <c r="I137" t="s">
        <v>43</v>
      </c>
    </row>
    <row r="138" spans="1:9" x14ac:dyDescent="0.3">
      <c r="A138" s="1">
        <v>45392</v>
      </c>
      <c r="B138">
        <v>2024</v>
      </c>
      <c r="C138">
        <v>4</v>
      </c>
      <c r="D138">
        <v>45392.74688939815</v>
      </c>
      <c r="E138">
        <v>17</v>
      </c>
      <c r="F138" t="s">
        <v>3</v>
      </c>
      <c r="G138" t="s">
        <v>122</v>
      </c>
      <c r="H138">
        <v>24</v>
      </c>
      <c r="I138" t="s">
        <v>35</v>
      </c>
    </row>
    <row r="139" spans="1:9" x14ac:dyDescent="0.3">
      <c r="A139" s="1">
        <v>45392</v>
      </c>
      <c r="B139">
        <v>2024</v>
      </c>
      <c r="C139">
        <v>4</v>
      </c>
      <c r="D139">
        <v>45392.746609004629</v>
      </c>
      <c r="E139">
        <v>17</v>
      </c>
      <c r="F139" t="s">
        <v>21</v>
      </c>
      <c r="H139">
        <v>40</v>
      </c>
      <c r="I139" t="s">
        <v>9</v>
      </c>
    </row>
    <row r="140" spans="1:9" x14ac:dyDescent="0.3">
      <c r="A140" s="1">
        <v>45392</v>
      </c>
      <c r="B140">
        <v>2024</v>
      </c>
      <c r="C140">
        <v>4</v>
      </c>
      <c r="D140">
        <v>45392.431552951391</v>
      </c>
      <c r="E140">
        <v>10</v>
      </c>
      <c r="F140" t="s">
        <v>21</v>
      </c>
      <c r="H140">
        <v>25</v>
      </c>
      <c r="I140" t="s">
        <v>35</v>
      </c>
    </row>
    <row r="141" spans="1:9" x14ac:dyDescent="0.3">
      <c r="A141" s="1">
        <v>45391</v>
      </c>
      <c r="B141">
        <v>2024</v>
      </c>
      <c r="C141">
        <v>4</v>
      </c>
      <c r="D141">
        <v>45391.725971481479</v>
      </c>
      <c r="E141">
        <v>17</v>
      </c>
      <c r="F141" t="s">
        <v>3</v>
      </c>
      <c r="G141" t="s">
        <v>63</v>
      </c>
      <c r="H141">
        <v>38.700000000000003</v>
      </c>
      <c r="I141" t="s">
        <v>9</v>
      </c>
    </row>
    <row r="142" spans="1:9" x14ac:dyDescent="0.3">
      <c r="A142" s="1">
        <v>45391</v>
      </c>
      <c r="B142">
        <v>2024</v>
      </c>
      <c r="C142">
        <v>4</v>
      </c>
      <c r="D142">
        <v>45391.633202777775</v>
      </c>
      <c r="E142">
        <v>15</v>
      </c>
      <c r="F142" t="s">
        <v>3</v>
      </c>
      <c r="G142" t="s">
        <v>121</v>
      </c>
      <c r="H142">
        <v>38.700000000000003</v>
      </c>
      <c r="I142" t="s">
        <v>9</v>
      </c>
    </row>
    <row r="143" spans="1:9" x14ac:dyDescent="0.3">
      <c r="A143" s="1">
        <v>45391</v>
      </c>
      <c r="B143">
        <v>2024</v>
      </c>
      <c r="C143">
        <v>4</v>
      </c>
      <c r="D143">
        <v>45391.487829490739</v>
      </c>
      <c r="E143">
        <v>11</v>
      </c>
      <c r="F143" t="s">
        <v>3</v>
      </c>
      <c r="G143" t="s">
        <v>105</v>
      </c>
      <c r="H143">
        <v>38.700000000000003</v>
      </c>
      <c r="I143" t="s">
        <v>7</v>
      </c>
    </row>
    <row r="144" spans="1:9" x14ac:dyDescent="0.3">
      <c r="A144" s="1">
        <v>45391</v>
      </c>
      <c r="B144">
        <v>2024</v>
      </c>
      <c r="C144">
        <v>4</v>
      </c>
      <c r="D144">
        <v>45391.433450266202</v>
      </c>
      <c r="E144">
        <v>10</v>
      </c>
      <c r="F144" t="s">
        <v>21</v>
      </c>
      <c r="H144">
        <v>30</v>
      </c>
      <c r="I144" t="s">
        <v>11</v>
      </c>
    </row>
    <row r="145" spans="1:9" x14ac:dyDescent="0.3">
      <c r="A145" s="1">
        <v>45391</v>
      </c>
      <c r="B145">
        <v>2024</v>
      </c>
      <c r="C145">
        <v>4</v>
      </c>
      <c r="D145">
        <v>45391.432261099537</v>
      </c>
      <c r="E145">
        <v>10</v>
      </c>
      <c r="F145" t="s">
        <v>21</v>
      </c>
      <c r="H145">
        <v>40</v>
      </c>
      <c r="I145" t="s">
        <v>43</v>
      </c>
    </row>
    <row r="146" spans="1:9" x14ac:dyDescent="0.3">
      <c r="A146" s="1">
        <v>45390</v>
      </c>
      <c r="B146">
        <v>2024</v>
      </c>
      <c r="C146">
        <v>4</v>
      </c>
      <c r="D146">
        <v>45390.808324861115</v>
      </c>
      <c r="E146">
        <v>19</v>
      </c>
      <c r="F146" t="s">
        <v>3</v>
      </c>
      <c r="G146" t="s">
        <v>120</v>
      </c>
      <c r="H146">
        <v>38.700000000000003</v>
      </c>
      <c r="I146" t="s">
        <v>43</v>
      </c>
    </row>
    <row r="147" spans="1:9" x14ac:dyDescent="0.3">
      <c r="A147" s="1">
        <v>45390</v>
      </c>
      <c r="B147">
        <v>2024</v>
      </c>
      <c r="C147">
        <v>4</v>
      </c>
      <c r="D147">
        <v>45390.807262465278</v>
      </c>
      <c r="E147">
        <v>19</v>
      </c>
      <c r="F147" t="s">
        <v>3</v>
      </c>
      <c r="G147" t="s">
        <v>37</v>
      </c>
      <c r="H147">
        <v>33.799999999999997</v>
      </c>
      <c r="I147" t="s">
        <v>14</v>
      </c>
    </row>
    <row r="148" spans="1:9" x14ac:dyDescent="0.3">
      <c r="A148" s="1">
        <v>45390</v>
      </c>
      <c r="B148">
        <v>2024</v>
      </c>
      <c r="C148">
        <v>4</v>
      </c>
      <c r="D148">
        <v>45390.762612418985</v>
      </c>
      <c r="E148">
        <v>18</v>
      </c>
      <c r="F148" t="s">
        <v>3</v>
      </c>
      <c r="G148" t="s">
        <v>119</v>
      </c>
      <c r="H148">
        <v>28.9</v>
      </c>
      <c r="I148" t="s">
        <v>11</v>
      </c>
    </row>
    <row r="149" spans="1:9" x14ac:dyDescent="0.3">
      <c r="A149" s="1">
        <v>45390</v>
      </c>
      <c r="B149">
        <v>2024</v>
      </c>
      <c r="C149">
        <v>4</v>
      </c>
      <c r="D149">
        <v>45390.695576458333</v>
      </c>
      <c r="E149">
        <v>16</v>
      </c>
      <c r="F149" t="s">
        <v>3</v>
      </c>
      <c r="G149" t="s">
        <v>29</v>
      </c>
      <c r="H149">
        <v>38.700000000000003</v>
      </c>
      <c r="I149" t="s">
        <v>7</v>
      </c>
    </row>
    <row r="150" spans="1:9" x14ac:dyDescent="0.3">
      <c r="A150" s="1">
        <v>45390</v>
      </c>
      <c r="B150">
        <v>2024</v>
      </c>
      <c r="C150">
        <v>4</v>
      </c>
      <c r="D150">
        <v>45390.655287974536</v>
      </c>
      <c r="E150">
        <v>15</v>
      </c>
      <c r="F150" t="s">
        <v>21</v>
      </c>
      <c r="H150">
        <v>35</v>
      </c>
      <c r="I150" t="s">
        <v>14</v>
      </c>
    </row>
    <row r="151" spans="1:9" x14ac:dyDescent="0.3">
      <c r="A151" s="1">
        <v>45390</v>
      </c>
      <c r="B151">
        <v>2024</v>
      </c>
      <c r="C151">
        <v>4</v>
      </c>
      <c r="D151">
        <v>45390.537799733793</v>
      </c>
      <c r="E151">
        <v>12</v>
      </c>
      <c r="F151" t="s">
        <v>21</v>
      </c>
      <c r="H151">
        <v>25</v>
      </c>
      <c r="I151" t="s">
        <v>35</v>
      </c>
    </row>
    <row r="152" spans="1:9" x14ac:dyDescent="0.3">
      <c r="A152" s="1">
        <v>45390</v>
      </c>
      <c r="B152">
        <v>2024</v>
      </c>
      <c r="C152">
        <v>4</v>
      </c>
      <c r="D152">
        <v>45390.461655439816</v>
      </c>
      <c r="E152">
        <v>11</v>
      </c>
      <c r="F152" t="s">
        <v>3</v>
      </c>
      <c r="G152" t="s">
        <v>118</v>
      </c>
      <c r="H152">
        <v>38.700000000000003</v>
      </c>
      <c r="I152" t="s">
        <v>43</v>
      </c>
    </row>
    <row r="153" spans="1:9" x14ac:dyDescent="0.3">
      <c r="A153" s="1">
        <v>45390</v>
      </c>
      <c r="B153">
        <v>2024</v>
      </c>
      <c r="C153">
        <v>4</v>
      </c>
      <c r="D153">
        <v>45390.45926462963</v>
      </c>
      <c r="E153">
        <v>11</v>
      </c>
      <c r="F153" t="s">
        <v>3</v>
      </c>
      <c r="G153" t="s">
        <v>23</v>
      </c>
      <c r="H153">
        <v>28.9</v>
      </c>
      <c r="I153" t="s">
        <v>11</v>
      </c>
    </row>
    <row r="154" spans="1:9" x14ac:dyDescent="0.3">
      <c r="A154" s="1">
        <v>45390</v>
      </c>
      <c r="B154">
        <v>2024</v>
      </c>
      <c r="C154">
        <v>4</v>
      </c>
      <c r="D154">
        <v>45390.457957847226</v>
      </c>
      <c r="E154">
        <v>10</v>
      </c>
      <c r="F154" t="s">
        <v>3</v>
      </c>
      <c r="G154" t="s">
        <v>117</v>
      </c>
      <c r="H154">
        <v>38.700000000000003</v>
      </c>
      <c r="I154" t="s">
        <v>43</v>
      </c>
    </row>
    <row r="155" spans="1:9" x14ac:dyDescent="0.3">
      <c r="A155" s="1">
        <v>45390</v>
      </c>
      <c r="B155">
        <v>2024</v>
      </c>
      <c r="C155">
        <v>4</v>
      </c>
      <c r="D155">
        <v>45390.457188726854</v>
      </c>
      <c r="E155">
        <v>10</v>
      </c>
      <c r="F155" t="s">
        <v>3</v>
      </c>
      <c r="G155" t="s">
        <v>116</v>
      </c>
      <c r="H155">
        <v>33.799999999999997</v>
      </c>
      <c r="I155" t="s">
        <v>14</v>
      </c>
    </row>
    <row r="156" spans="1:9" x14ac:dyDescent="0.3">
      <c r="A156" s="1">
        <v>45389</v>
      </c>
      <c r="B156">
        <v>2024</v>
      </c>
      <c r="C156">
        <v>4</v>
      </c>
      <c r="D156">
        <v>45389.751433773148</v>
      </c>
      <c r="E156">
        <v>18</v>
      </c>
      <c r="F156" t="s">
        <v>3</v>
      </c>
      <c r="G156" t="s">
        <v>115</v>
      </c>
      <c r="H156">
        <v>33.799999999999997</v>
      </c>
      <c r="I156" t="s">
        <v>14</v>
      </c>
    </row>
    <row r="157" spans="1:9" x14ac:dyDescent="0.3">
      <c r="A157" s="1">
        <v>45389</v>
      </c>
      <c r="B157">
        <v>2024</v>
      </c>
      <c r="C157">
        <v>4</v>
      </c>
      <c r="D157">
        <v>45389.750886666669</v>
      </c>
      <c r="E157">
        <v>18</v>
      </c>
      <c r="F157" t="s">
        <v>3</v>
      </c>
      <c r="G157" t="s">
        <v>115</v>
      </c>
      <c r="H157">
        <v>38.700000000000003</v>
      </c>
      <c r="I157" t="s">
        <v>9</v>
      </c>
    </row>
    <row r="158" spans="1:9" x14ac:dyDescent="0.3">
      <c r="A158" s="1">
        <v>45389</v>
      </c>
      <c r="B158">
        <v>2024</v>
      </c>
      <c r="C158">
        <v>4</v>
      </c>
      <c r="D158">
        <v>45389.595493379631</v>
      </c>
      <c r="E158">
        <v>14</v>
      </c>
      <c r="F158" t="s">
        <v>3</v>
      </c>
      <c r="G158" t="s">
        <v>114</v>
      </c>
      <c r="H158">
        <v>24</v>
      </c>
      <c r="I158" t="s">
        <v>35</v>
      </c>
    </row>
    <row r="159" spans="1:9" x14ac:dyDescent="0.3">
      <c r="A159" s="1">
        <v>45389</v>
      </c>
      <c r="B159">
        <v>2024</v>
      </c>
      <c r="C159">
        <v>4</v>
      </c>
      <c r="D159">
        <v>45389.594733206017</v>
      </c>
      <c r="E159">
        <v>14</v>
      </c>
      <c r="F159" t="s">
        <v>3</v>
      </c>
      <c r="G159" t="s">
        <v>114</v>
      </c>
      <c r="H159">
        <v>28.9</v>
      </c>
      <c r="I159" t="s">
        <v>28</v>
      </c>
    </row>
    <row r="160" spans="1:9" x14ac:dyDescent="0.3">
      <c r="A160" s="1">
        <v>45389</v>
      </c>
      <c r="B160">
        <v>2024</v>
      </c>
      <c r="C160">
        <v>4</v>
      </c>
      <c r="D160">
        <v>45389.532003680557</v>
      </c>
      <c r="E160">
        <v>12</v>
      </c>
      <c r="F160" t="s">
        <v>3</v>
      </c>
      <c r="G160" t="s">
        <v>54</v>
      </c>
      <c r="H160">
        <v>38.700000000000003</v>
      </c>
      <c r="I160" t="s">
        <v>43</v>
      </c>
    </row>
    <row r="161" spans="1:9" x14ac:dyDescent="0.3">
      <c r="A161" s="1">
        <v>45389</v>
      </c>
      <c r="B161">
        <v>2024</v>
      </c>
      <c r="C161">
        <v>4</v>
      </c>
      <c r="D161">
        <v>45389.530925185187</v>
      </c>
      <c r="E161">
        <v>12</v>
      </c>
      <c r="F161" t="s">
        <v>3</v>
      </c>
      <c r="G161" t="s">
        <v>54</v>
      </c>
      <c r="H161">
        <v>38.700000000000003</v>
      </c>
      <c r="I161" t="s">
        <v>43</v>
      </c>
    </row>
    <row r="162" spans="1:9" x14ac:dyDescent="0.3">
      <c r="A162" s="1">
        <v>45389</v>
      </c>
      <c r="B162">
        <v>2024</v>
      </c>
      <c r="C162">
        <v>4</v>
      </c>
      <c r="D162">
        <v>45389.42561578704</v>
      </c>
      <c r="E162">
        <v>10</v>
      </c>
      <c r="F162" t="s">
        <v>3</v>
      </c>
      <c r="G162" t="s">
        <v>105</v>
      </c>
      <c r="H162">
        <v>38.700000000000003</v>
      </c>
      <c r="I162" t="s">
        <v>7</v>
      </c>
    </row>
    <row r="163" spans="1:9" x14ac:dyDescent="0.3">
      <c r="A163" s="1">
        <v>45388</v>
      </c>
      <c r="B163">
        <v>2024</v>
      </c>
      <c r="C163">
        <v>4</v>
      </c>
      <c r="D163">
        <v>45388.617941932869</v>
      </c>
      <c r="E163">
        <v>14</v>
      </c>
      <c r="F163" t="s">
        <v>3</v>
      </c>
      <c r="G163" t="s">
        <v>19</v>
      </c>
      <c r="H163">
        <v>38.700000000000003</v>
      </c>
      <c r="I163" t="s">
        <v>7</v>
      </c>
    </row>
    <row r="164" spans="1:9" x14ac:dyDescent="0.3">
      <c r="A164" s="1">
        <v>45388</v>
      </c>
      <c r="B164">
        <v>2024</v>
      </c>
      <c r="C164">
        <v>4</v>
      </c>
      <c r="D164">
        <v>45388.593368391201</v>
      </c>
      <c r="E164">
        <v>14</v>
      </c>
      <c r="F164" t="s">
        <v>3</v>
      </c>
      <c r="G164" t="s">
        <v>54</v>
      </c>
      <c r="H164">
        <v>28.9</v>
      </c>
      <c r="I164" t="s">
        <v>11</v>
      </c>
    </row>
    <row r="165" spans="1:9" x14ac:dyDescent="0.3">
      <c r="A165" s="1">
        <v>45388</v>
      </c>
      <c r="B165">
        <v>2024</v>
      </c>
      <c r="C165">
        <v>4</v>
      </c>
      <c r="D165">
        <v>45388.592577928241</v>
      </c>
      <c r="E165">
        <v>14</v>
      </c>
      <c r="F165" t="s">
        <v>3</v>
      </c>
      <c r="G165" t="s">
        <v>54</v>
      </c>
      <c r="H165">
        <v>38.700000000000003</v>
      </c>
      <c r="I165" t="s">
        <v>43</v>
      </c>
    </row>
    <row r="166" spans="1:9" x14ac:dyDescent="0.3">
      <c r="A166" s="1">
        <v>45388</v>
      </c>
      <c r="B166">
        <v>2024</v>
      </c>
      <c r="C166">
        <v>4</v>
      </c>
      <c r="D166">
        <v>45388.522585625004</v>
      </c>
      <c r="E166">
        <v>12</v>
      </c>
      <c r="F166" t="s">
        <v>3</v>
      </c>
      <c r="G166" t="s">
        <v>113</v>
      </c>
      <c r="H166">
        <v>33.799999999999997</v>
      </c>
      <c r="I166" t="s">
        <v>14</v>
      </c>
    </row>
    <row r="167" spans="1:9" x14ac:dyDescent="0.3">
      <c r="A167" s="1">
        <v>45387</v>
      </c>
      <c r="B167">
        <v>2024</v>
      </c>
      <c r="C167">
        <v>4</v>
      </c>
      <c r="D167">
        <v>45387.679439328705</v>
      </c>
      <c r="E167">
        <v>16</v>
      </c>
      <c r="F167" t="s">
        <v>3</v>
      </c>
      <c r="G167" t="s">
        <v>10</v>
      </c>
      <c r="H167">
        <v>24</v>
      </c>
      <c r="I167" t="s">
        <v>35</v>
      </c>
    </row>
    <row r="168" spans="1:9" x14ac:dyDescent="0.3">
      <c r="A168" s="1">
        <v>45387</v>
      </c>
      <c r="B168">
        <v>2024</v>
      </c>
      <c r="C168">
        <v>4</v>
      </c>
      <c r="D168">
        <v>45387.678981192126</v>
      </c>
      <c r="E168">
        <v>16</v>
      </c>
      <c r="F168" t="s">
        <v>21</v>
      </c>
      <c r="H168">
        <v>40</v>
      </c>
      <c r="I168" t="s">
        <v>18</v>
      </c>
    </row>
    <row r="169" spans="1:9" x14ac:dyDescent="0.3">
      <c r="A169" s="1">
        <v>45387</v>
      </c>
      <c r="B169">
        <v>2024</v>
      </c>
      <c r="C169">
        <v>4</v>
      </c>
      <c r="D169">
        <v>45387.663552627317</v>
      </c>
      <c r="E169">
        <v>15</v>
      </c>
      <c r="F169" t="s">
        <v>21</v>
      </c>
      <c r="H169">
        <v>30</v>
      </c>
      <c r="I169" t="s">
        <v>11</v>
      </c>
    </row>
    <row r="170" spans="1:9" x14ac:dyDescent="0.3">
      <c r="A170" s="1">
        <v>45387</v>
      </c>
      <c r="B170">
        <v>2024</v>
      </c>
      <c r="C170">
        <v>4</v>
      </c>
      <c r="D170">
        <v>45387.662682499998</v>
      </c>
      <c r="E170">
        <v>15</v>
      </c>
      <c r="F170" t="s">
        <v>21</v>
      </c>
      <c r="H170">
        <v>40</v>
      </c>
      <c r="I170" t="s">
        <v>43</v>
      </c>
    </row>
    <row r="171" spans="1:9" x14ac:dyDescent="0.3">
      <c r="A171" s="1">
        <v>45387</v>
      </c>
      <c r="B171">
        <v>2024</v>
      </c>
      <c r="C171">
        <v>4</v>
      </c>
      <c r="D171">
        <v>45387.646416469906</v>
      </c>
      <c r="E171">
        <v>15</v>
      </c>
      <c r="F171" t="s">
        <v>21</v>
      </c>
      <c r="H171">
        <v>40</v>
      </c>
      <c r="I171" t="s">
        <v>7</v>
      </c>
    </row>
    <row r="172" spans="1:9" x14ac:dyDescent="0.3">
      <c r="A172" s="1">
        <v>45387</v>
      </c>
      <c r="B172">
        <v>2024</v>
      </c>
      <c r="C172">
        <v>4</v>
      </c>
      <c r="D172">
        <v>45387.600583530089</v>
      </c>
      <c r="E172">
        <v>14</v>
      </c>
      <c r="F172" t="s">
        <v>3</v>
      </c>
      <c r="G172" t="s">
        <v>112</v>
      </c>
      <c r="H172">
        <v>28.9</v>
      </c>
      <c r="I172" t="s">
        <v>28</v>
      </c>
    </row>
    <row r="173" spans="1:9" x14ac:dyDescent="0.3">
      <c r="A173" s="1">
        <v>45387</v>
      </c>
      <c r="B173">
        <v>2024</v>
      </c>
      <c r="C173">
        <v>4</v>
      </c>
      <c r="D173">
        <v>45387.599772997688</v>
      </c>
      <c r="E173">
        <v>14</v>
      </c>
      <c r="F173" t="s">
        <v>3</v>
      </c>
      <c r="G173" t="s">
        <v>112</v>
      </c>
      <c r="H173">
        <v>38.700000000000003</v>
      </c>
      <c r="I173" t="s">
        <v>7</v>
      </c>
    </row>
    <row r="174" spans="1:9" x14ac:dyDescent="0.3">
      <c r="A174" s="1">
        <v>45387</v>
      </c>
      <c r="B174">
        <v>2024</v>
      </c>
      <c r="C174">
        <v>4</v>
      </c>
      <c r="D174">
        <v>45387.510046006944</v>
      </c>
      <c r="E174">
        <v>12</v>
      </c>
      <c r="F174" t="s">
        <v>3</v>
      </c>
      <c r="G174" t="s">
        <v>111</v>
      </c>
      <c r="H174">
        <v>33.799999999999997</v>
      </c>
      <c r="I174" t="s">
        <v>14</v>
      </c>
    </row>
    <row r="175" spans="1:9" x14ac:dyDescent="0.3">
      <c r="A175" s="1">
        <v>45387</v>
      </c>
      <c r="B175">
        <v>2024</v>
      </c>
      <c r="C175">
        <v>4</v>
      </c>
      <c r="D175">
        <v>45387.462669479166</v>
      </c>
      <c r="E175">
        <v>11</v>
      </c>
      <c r="F175" t="s">
        <v>3</v>
      </c>
      <c r="G175" t="s">
        <v>110</v>
      </c>
      <c r="H175">
        <v>28.9</v>
      </c>
      <c r="I175" t="s">
        <v>28</v>
      </c>
    </row>
    <row r="176" spans="1:9" x14ac:dyDescent="0.3">
      <c r="A176" s="1">
        <v>45387</v>
      </c>
      <c r="B176">
        <v>2024</v>
      </c>
      <c r="C176">
        <v>4</v>
      </c>
      <c r="D176">
        <v>45387.445905138891</v>
      </c>
      <c r="E176">
        <v>10</v>
      </c>
      <c r="F176" t="s">
        <v>3</v>
      </c>
      <c r="G176" t="s">
        <v>23</v>
      </c>
      <c r="H176">
        <v>28.9</v>
      </c>
      <c r="I176" t="s">
        <v>11</v>
      </c>
    </row>
    <row r="177" spans="1:9" x14ac:dyDescent="0.3">
      <c r="A177" s="1">
        <v>45387</v>
      </c>
      <c r="B177">
        <v>2024</v>
      </c>
      <c r="C177">
        <v>4</v>
      </c>
      <c r="D177">
        <v>45387.444938981484</v>
      </c>
      <c r="E177">
        <v>10</v>
      </c>
      <c r="F177" t="s">
        <v>3</v>
      </c>
      <c r="G177" t="s">
        <v>109</v>
      </c>
      <c r="H177">
        <v>28.9</v>
      </c>
      <c r="I177" t="s">
        <v>11</v>
      </c>
    </row>
    <row r="178" spans="1:9" x14ac:dyDescent="0.3">
      <c r="A178" s="1">
        <v>45386</v>
      </c>
      <c r="B178">
        <v>2024</v>
      </c>
      <c r="C178">
        <v>4</v>
      </c>
      <c r="D178">
        <v>45386.820922916668</v>
      </c>
      <c r="E178">
        <v>19</v>
      </c>
      <c r="F178" t="s">
        <v>21</v>
      </c>
      <c r="H178">
        <v>40</v>
      </c>
      <c r="I178" t="s">
        <v>7</v>
      </c>
    </row>
    <row r="179" spans="1:9" x14ac:dyDescent="0.3">
      <c r="A179" s="1">
        <v>45386</v>
      </c>
      <c r="B179">
        <v>2024</v>
      </c>
      <c r="C179">
        <v>4</v>
      </c>
      <c r="D179">
        <v>45386.515997870367</v>
      </c>
      <c r="E179">
        <v>12</v>
      </c>
      <c r="F179" t="s">
        <v>3</v>
      </c>
      <c r="G179" t="s">
        <v>108</v>
      </c>
      <c r="H179">
        <v>28.9</v>
      </c>
      <c r="I179" t="s">
        <v>28</v>
      </c>
    </row>
    <row r="180" spans="1:9" x14ac:dyDescent="0.3">
      <c r="A180" s="1">
        <v>45386</v>
      </c>
      <c r="B180">
        <v>2024</v>
      </c>
      <c r="C180">
        <v>4</v>
      </c>
      <c r="D180">
        <v>45386.477643645834</v>
      </c>
      <c r="E180">
        <v>11</v>
      </c>
      <c r="F180" t="s">
        <v>3</v>
      </c>
      <c r="G180" t="s">
        <v>107</v>
      </c>
      <c r="H180">
        <v>38.700000000000003</v>
      </c>
      <c r="I180" t="s">
        <v>43</v>
      </c>
    </row>
    <row r="181" spans="1:9" x14ac:dyDescent="0.3">
      <c r="A181" s="1">
        <v>45386</v>
      </c>
      <c r="B181">
        <v>2024</v>
      </c>
      <c r="C181">
        <v>4</v>
      </c>
      <c r="D181">
        <v>45386.476829687497</v>
      </c>
      <c r="E181">
        <v>11</v>
      </c>
      <c r="F181" t="s">
        <v>3</v>
      </c>
      <c r="G181" t="s">
        <v>106</v>
      </c>
      <c r="H181">
        <v>38.700000000000003</v>
      </c>
      <c r="I181" t="s">
        <v>7</v>
      </c>
    </row>
    <row r="182" spans="1:9" x14ac:dyDescent="0.3">
      <c r="A182" s="1">
        <v>45386</v>
      </c>
      <c r="B182">
        <v>2024</v>
      </c>
      <c r="C182">
        <v>4</v>
      </c>
      <c r="D182">
        <v>45386.447870231481</v>
      </c>
      <c r="E182">
        <v>10</v>
      </c>
      <c r="F182" t="s">
        <v>3</v>
      </c>
      <c r="G182" t="s">
        <v>105</v>
      </c>
      <c r="H182">
        <v>38.700000000000003</v>
      </c>
      <c r="I182" t="s">
        <v>7</v>
      </c>
    </row>
    <row r="183" spans="1:9" x14ac:dyDescent="0.3">
      <c r="A183" s="1">
        <v>45385</v>
      </c>
      <c r="B183">
        <v>2024</v>
      </c>
      <c r="C183">
        <v>4</v>
      </c>
      <c r="D183">
        <v>45385.650135821757</v>
      </c>
      <c r="E183">
        <v>15</v>
      </c>
      <c r="F183" t="s">
        <v>21</v>
      </c>
      <c r="H183">
        <v>30</v>
      </c>
      <c r="I183" t="s">
        <v>28</v>
      </c>
    </row>
    <row r="184" spans="1:9" x14ac:dyDescent="0.3">
      <c r="A184" s="1">
        <v>45385</v>
      </c>
      <c r="B184">
        <v>2024</v>
      </c>
      <c r="C184">
        <v>4</v>
      </c>
      <c r="D184">
        <v>45385.550062118054</v>
      </c>
      <c r="E184">
        <v>13</v>
      </c>
      <c r="F184" t="s">
        <v>3</v>
      </c>
      <c r="G184" t="s">
        <v>23</v>
      </c>
      <c r="H184">
        <v>38.700000000000003</v>
      </c>
      <c r="I184" t="s">
        <v>43</v>
      </c>
    </row>
    <row r="185" spans="1:9" x14ac:dyDescent="0.3">
      <c r="A185" s="1">
        <v>45385</v>
      </c>
      <c r="B185">
        <v>2024</v>
      </c>
      <c r="C185">
        <v>4</v>
      </c>
      <c r="D185">
        <v>45385.430644155094</v>
      </c>
      <c r="E185">
        <v>10</v>
      </c>
      <c r="F185" t="s">
        <v>3</v>
      </c>
      <c r="G185" t="s">
        <v>10</v>
      </c>
      <c r="H185">
        <v>28.9</v>
      </c>
      <c r="I185" t="s">
        <v>11</v>
      </c>
    </row>
    <row r="186" spans="1:9" x14ac:dyDescent="0.3">
      <c r="A186" s="1">
        <v>45385</v>
      </c>
      <c r="B186">
        <v>2024</v>
      </c>
      <c r="C186">
        <v>4</v>
      </c>
      <c r="D186">
        <v>45385.430019027779</v>
      </c>
      <c r="E186">
        <v>10</v>
      </c>
      <c r="F186" t="s">
        <v>3</v>
      </c>
      <c r="G186" t="s">
        <v>10</v>
      </c>
      <c r="H186">
        <v>28.9</v>
      </c>
      <c r="I186" t="s">
        <v>28</v>
      </c>
    </row>
    <row r="187" spans="1:9" x14ac:dyDescent="0.3">
      <c r="A187" s="1">
        <v>45384</v>
      </c>
      <c r="B187">
        <v>2024</v>
      </c>
      <c r="C187">
        <v>4</v>
      </c>
      <c r="D187">
        <v>45384.833008587964</v>
      </c>
      <c r="E187">
        <v>19</v>
      </c>
      <c r="F187" t="s">
        <v>21</v>
      </c>
      <c r="H187">
        <v>40</v>
      </c>
      <c r="I187" t="s">
        <v>43</v>
      </c>
    </row>
    <row r="188" spans="1:9" x14ac:dyDescent="0.3">
      <c r="A188" s="1">
        <v>45384</v>
      </c>
      <c r="B188">
        <v>2024</v>
      </c>
      <c r="C188">
        <v>4</v>
      </c>
      <c r="D188">
        <v>45384.680190509258</v>
      </c>
      <c r="E188">
        <v>16</v>
      </c>
      <c r="F188" t="s">
        <v>3</v>
      </c>
      <c r="G188" t="s">
        <v>10</v>
      </c>
      <c r="H188">
        <v>28.9</v>
      </c>
      <c r="I188" t="s">
        <v>28</v>
      </c>
    </row>
    <row r="189" spans="1:9" x14ac:dyDescent="0.3">
      <c r="A189" s="1">
        <v>45384</v>
      </c>
      <c r="B189">
        <v>2024</v>
      </c>
      <c r="C189">
        <v>4</v>
      </c>
      <c r="D189">
        <v>45384.679562141202</v>
      </c>
      <c r="E189">
        <v>16</v>
      </c>
      <c r="F189" t="s">
        <v>3</v>
      </c>
      <c r="G189" t="s">
        <v>10</v>
      </c>
      <c r="H189">
        <v>28.9</v>
      </c>
      <c r="I189" t="s">
        <v>11</v>
      </c>
    </row>
    <row r="190" spans="1:9" x14ac:dyDescent="0.3">
      <c r="A190" s="1">
        <v>45384</v>
      </c>
      <c r="B190">
        <v>2024</v>
      </c>
      <c r="C190">
        <v>4</v>
      </c>
      <c r="D190">
        <v>45384.417523402779</v>
      </c>
      <c r="E190">
        <v>10</v>
      </c>
      <c r="F190" t="s">
        <v>3</v>
      </c>
      <c r="G190" t="s">
        <v>6</v>
      </c>
      <c r="H190">
        <v>38.700000000000003</v>
      </c>
      <c r="I190" t="s">
        <v>7</v>
      </c>
    </row>
    <row r="191" spans="1:9" x14ac:dyDescent="0.3">
      <c r="A191" s="1">
        <v>45383</v>
      </c>
      <c r="B191">
        <v>2024</v>
      </c>
      <c r="C191">
        <v>4</v>
      </c>
      <c r="D191">
        <v>45383.781567546299</v>
      </c>
      <c r="E191">
        <v>18</v>
      </c>
      <c r="F191" t="s">
        <v>3</v>
      </c>
      <c r="G191" t="s">
        <v>104</v>
      </c>
      <c r="H191">
        <v>38.700000000000003</v>
      </c>
      <c r="I191" t="s">
        <v>9</v>
      </c>
    </row>
    <row r="192" spans="1:9" x14ac:dyDescent="0.3">
      <c r="A192" s="1">
        <v>45383</v>
      </c>
      <c r="B192">
        <v>2024</v>
      </c>
      <c r="C192">
        <v>4</v>
      </c>
      <c r="D192">
        <v>45383.762990416668</v>
      </c>
      <c r="E192">
        <v>18</v>
      </c>
      <c r="F192" t="s">
        <v>3</v>
      </c>
      <c r="G192" t="s">
        <v>37</v>
      </c>
      <c r="H192">
        <v>33.799999999999997</v>
      </c>
      <c r="I192" t="s">
        <v>14</v>
      </c>
    </row>
    <row r="193" spans="1:9" x14ac:dyDescent="0.3">
      <c r="A193" s="1">
        <v>45383</v>
      </c>
      <c r="B193">
        <v>2024</v>
      </c>
      <c r="C193">
        <v>4</v>
      </c>
      <c r="D193">
        <v>45383.709524583333</v>
      </c>
      <c r="E193">
        <v>17</v>
      </c>
      <c r="F193" t="s">
        <v>21</v>
      </c>
      <c r="H193">
        <v>40</v>
      </c>
      <c r="I193" t="s">
        <v>43</v>
      </c>
    </row>
    <row r="194" spans="1:9" x14ac:dyDescent="0.3">
      <c r="A194" s="1">
        <v>45383</v>
      </c>
      <c r="B194">
        <v>2024</v>
      </c>
      <c r="C194">
        <v>4</v>
      </c>
      <c r="D194">
        <v>45383.46925736111</v>
      </c>
      <c r="E194">
        <v>11</v>
      </c>
      <c r="F194" t="s">
        <v>3</v>
      </c>
      <c r="G194" t="s">
        <v>19</v>
      </c>
      <c r="H194">
        <v>33.799999999999997</v>
      </c>
      <c r="I194" t="s">
        <v>14</v>
      </c>
    </row>
    <row r="195" spans="1:9" x14ac:dyDescent="0.3">
      <c r="A195" s="1">
        <v>45383</v>
      </c>
      <c r="B195">
        <v>2024</v>
      </c>
      <c r="C195">
        <v>4</v>
      </c>
      <c r="D195">
        <v>45383.438006192133</v>
      </c>
      <c r="E195">
        <v>10</v>
      </c>
      <c r="F195" t="s">
        <v>3</v>
      </c>
      <c r="G195" t="s">
        <v>12</v>
      </c>
      <c r="H195">
        <v>33.799999999999997</v>
      </c>
      <c r="I195" t="s">
        <v>14</v>
      </c>
    </row>
    <row r="196" spans="1:9" x14ac:dyDescent="0.3">
      <c r="A196" s="1">
        <v>45383</v>
      </c>
      <c r="B196">
        <v>2024</v>
      </c>
      <c r="C196">
        <v>4</v>
      </c>
      <c r="D196">
        <v>45383.437295347219</v>
      </c>
      <c r="E196">
        <v>10</v>
      </c>
      <c r="F196" t="s">
        <v>3</v>
      </c>
      <c r="G196" t="s">
        <v>12</v>
      </c>
      <c r="H196">
        <v>33.799999999999997</v>
      </c>
      <c r="I196" t="s">
        <v>14</v>
      </c>
    </row>
    <row r="197" spans="1:9" x14ac:dyDescent="0.3">
      <c r="A197" s="1">
        <v>45383</v>
      </c>
      <c r="B197">
        <v>2024</v>
      </c>
      <c r="C197">
        <v>4</v>
      </c>
      <c r="D197">
        <v>45383.436662048611</v>
      </c>
      <c r="E197">
        <v>10</v>
      </c>
      <c r="F197" t="s">
        <v>3</v>
      </c>
      <c r="G197" t="s">
        <v>12</v>
      </c>
      <c r="H197">
        <v>28.9</v>
      </c>
      <c r="I197" t="s">
        <v>11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A4" sqref="A4"/>
    </sheetView>
  </sheetViews>
  <sheetFormatPr defaultRowHeight="14.4" x14ac:dyDescent="0.3"/>
  <cols>
    <col min="1" max="1" width="12.5546875" customWidth="1"/>
    <col min="2" max="2" width="13.44140625" customWidth="1"/>
  </cols>
  <sheetData>
    <row r="3" spans="1:2" x14ac:dyDescent="0.3">
      <c r="A3" s="15" t="s">
        <v>464</v>
      </c>
      <c r="B3" t="s">
        <v>466</v>
      </c>
    </row>
    <row r="4" spans="1:2" x14ac:dyDescent="0.3">
      <c r="A4" s="16">
        <v>3</v>
      </c>
      <c r="B4" s="14">
        <v>7050.1999999999871</v>
      </c>
    </row>
    <row r="5" spans="1:2" x14ac:dyDescent="0.3">
      <c r="A5" s="16">
        <v>4</v>
      </c>
      <c r="B5" s="14">
        <v>6720.5600000000013</v>
      </c>
    </row>
    <row r="6" spans="1:2" x14ac:dyDescent="0.3">
      <c r="A6" s="16">
        <v>5</v>
      </c>
      <c r="B6" s="14">
        <v>9063.4200000000019</v>
      </c>
    </row>
    <row r="7" spans="1:2" x14ac:dyDescent="0.3">
      <c r="A7" s="16">
        <v>6</v>
      </c>
      <c r="B7" s="14">
        <v>7758.7600000000048</v>
      </c>
    </row>
    <row r="8" spans="1:2" x14ac:dyDescent="0.3">
      <c r="A8" s="16">
        <v>7</v>
      </c>
      <c r="B8" s="14">
        <v>6915.940000000006</v>
      </c>
    </row>
    <row r="9" spans="1:2" x14ac:dyDescent="0.3">
      <c r="A9" s="16" t="s">
        <v>465</v>
      </c>
      <c r="B9" s="14">
        <v>37508.880000000005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A5" sqref="A5"/>
    </sheetView>
  </sheetViews>
  <sheetFormatPr defaultRowHeight="14.4" x14ac:dyDescent="0.3"/>
  <cols>
    <col min="1" max="1" width="12.5546875" customWidth="1"/>
    <col min="2" max="2" width="13.44140625" customWidth="1"/>
    <col min="3" max="3" width="12.44140625" customWidth="1"/>
  </cols>
  <sheetData>
    <row r="3" spans="1:2" x14ac:dyDescent="0.3">
      <c r="A3" s="15" t="s">
        <v>464</v>
      </c>
      <c r="B3" t="s">
        <v>466</v>
      </c>
    </row>
    <row r="4" spans="1:2" x14ac:dyDescent="0.3">
      <c r="A4" s="16">
        <v>3</v>
      </c>
      <c r="B4" s="14">
        <v>7050.1999999999871</v>
      </c>
    </row>
    <row r="5" spans="1:2" x14ac:dyDescent="0.3">
      <c r="A5" s="16">
        <v>4</v>
      </c>
      <c r="B5" s="14">
        <v>6720.5600000000013</v>
      </c>
    </row>
    <row r="6" spans="1:2" x14ac:dyDescent="0.3">
      <c r="A6" s="16">
        <v>5</v>
      </c>
      <c r="B6" s="14">
        <v>9063.4200000000019</v>
      </c>
    </row>
    <row r="7" spans="1:2" x14ac:dyDescent="0.3">
      <c r="A7" s="16">
        <v>6</v>
      </c>
      <c r="B7" s="14">
        <v>7758.7600000000048</v>
      </c>
    </row>
    <row r="8" spans="1:2" x14ac:dyDescent="0.3">
      <c r="A8" s="16">
        <v>7</v>
      </c>
      <c r="B8" s="14">
        <v>6915.940000000006</v>
      </c>
    </row>
    <row r="9" spans="1:2" x14ac:dyDescent="0.3">
      <c r="A9" s="16" t="s">
        <v>465</v>
      </c>
      <c r="B9" s="14">
        <v>37508.880000000005</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33"/>
  <sheetViews>
    <sheetView topLeftCell="A2" workbookViewId="0">
      <selection activeCell="A2" sqref="A2"/>
    </sheetView>
  </sheetViews>
  <sheetFormatPr defaultRowHeight="14.4" x14ac:dyDescent="0.3"/>
  <cols>
    <col min="1" max="3" width="31.44140625" customWidth="1"/>
    <col min="4" max="4" width="21.5546875" style="2" customWidth="1"/>
    <col min="5" max="5" width="21.5546875" customWidth="1"/>
    <col min="6" max="6" width="18" customWidth="1"/>
    <col min="7" max="7" width="34.88671875" customWidth="1"/>
    <col min="8" max="8" width="18" style="3" customWidth="1"/>
    <col min="9" max="9" width="29.6640625" customWidth="1"/>
  </cols>
  <sheetData>
    <row r="1" spans="1:9" x14ac:dyDescent="0.3">
      <c r="A1" t="s">
        <v>0</v>
      </c>
      <c r="B1" t="s">
        <v>461</v>
      </c>
      <c r="C1" t="s">
        <v>462</v>
      </c>
      <c r="D1" s="2" t="s">
        <v>1</v>
      </c>
      <c r="E1" t="s">
        <v>463</v>
      </c>
      <c r="F1" t="s">
        <v>2</v>
      </c>
      <c r="G1" t="s">
        <v>3</v>
      </c>
      <c r="H1" s="3" t="s">
        <v>4</v>
      </c>
      <c r="I1" t="s">
        <v>5</v>
      </c>
    </row>
    <row r="2" spans="1:9" x14ac:dyDescent="0.3">
      <c r="A2" s="1">
        <v>45352</v>
      </c>
      <c r="B2" s="4">
        <f t="shared" ref="B2:B64" si="0">YEAR(A2)</f>
        <v>2024</v>
      </c>
      <c r="C2" s="4">
        <f t="shared" ref="C2:C64" si="1">MONTH(A2)</f>
        <v>3</v>
      </c>
      <c r="D2" s="2">
        <v>45352.427668055556</v>
      </c>
      <c r="E2" s="4">
        <f t="shared" ref="E2:E64" si="2">HOUR(D2)</f>
        <v>10</v>
      </c>
      <c r="F2" t="s">
        <v>3</v>
      </c>
      <c r="G2" t="s">
        <v>6</v>
      </c>
      <c r="H2" s="3">
        <v>38.700000000000003</v>
      </c>
      <c r="I2" t="s">
        <v>7</v>
      </c>
    </row>
    <row r="3" spans="1:9" x14ac:dyDescent="0.3">
      <c r="A3" s="1">
        <v>45352</v>
      </c>
      <c r="B3" s="4">
        <f t="shared" si="0"/>
        <v>2024</v>
      </c>
      <c r="C3" s="4">
        <f t="shared" si="1"/>
        <v>3</v>
      </c>
      <c r="D3" s="2">
        <v>45352.513455312503</v>
      </c>
      <c r="E3" s="4">
        <f t="shared" si="2"/>
        <v>12</v>
      </c>
      <c r="F3" t="s">
        <v>3</v>
      </c>
      <c r="G3" t="s">
        <v>8</v>
      </c>
      <c r="H3" s="3">
        <v>38.700000000000003</v>
      </c>
      <c r="I3" t="s">
        <v>9</v>
      </c>
    </row>
    <row r="4" spans="1:9" x14ac:dyDescent="0.3">
      <c r="A4" s="1">
        <v>45352</v>
      </c>
      <c r="B4" s="4">
        <f t="shared" si="0"/>
        <v>2024</v>
      </c>
      <c r="C4" s="4">
        <f t="shared" si="1"/>
        <v>3</v>
      </c>
      <c r="D4" s="2">
        <v>45352.514098252315</v>
      </c>
      <c r="E4" s="4">
        <f t="shared" si="2"/>
        <v>12</v>
      </c>
      <c r="F4" t="s">
        <v>3</v>
      </c>
      <c r="G4" t="s">
        <v>8</v>
      </c>
      <c r="H4" s="3">
        <v>38.700000000000003</v>
      </c>
      <c r="I4" t="s">
        <v>9</v>
      </c>
    </row>
    <row r="5" spans="1:9" x14ac:dyDescent="0.3">
      <c r="A5" s="1">
        <v>45352</v>
      </c>
      <c r="B5" s="4">
        <f t="shared" si="0"/>
        <v>2024</v>
      </c>
      <c r="C5" s="4">
        <f t="shared" si="1"/>
        <v>3</v>
      </c>
      <c r="D5" s="2">
        <v>45352.573993124999</v>
      </c>
      <c r="E5" s="4">
        <f t="shared" si="2"/>
        <v>13</v>
      </c>
      <c r="F5" t="s">
        <v>3</v>
      </c>
      <c r="G5" t="s">
        <v>10</v>
      </c>
      <c r="H5" s="3">
        <v>28.9</v>
      </c>
      <c r="I5" t="s">
        <v>11</v>
      </c>
    </row>
    <row r="6" spans="1:9" x14ac:dyDescent="0.3">
      <c r="A6" s="1">
        <v>45352</v>
      </c>
      <c r="B6" s="4">
        <f t="shared" si="0"/>
        <v>2024</v>
      </c>
      <c r="C6" s="4">
        <f t="shared" si="1"/>
        <v>3</v>
      </c>
      <c r="D6" s="2">
        <v>45352.575169282405</v>
      </c>
      <c r="E6" s="4">
        <f t="shared" si="2"/>
        <v>13</v>
      </c>
      <c r="F6" t="s">
        <v>3</v>
      </c>
      <c r="G6" t="s">
        <v>12</v>
      </c>
      <c r="H6" s="3">
        <v>38.700000000000003</v>
      </c>
      <c r="I6" t="s">
        <v>7</v>
      </c>
    </row>
    <row r="7" spans="1:9" x14ac:dyDescent="0.3">
      <c r="A7" s="1">
        <v>45352</v>
      </c>
      <c r="B7" s="4">
        <f t="shared" si="0"/>
        <v>2024</v>
      </c>
      <c r="C7" s="4">
        <f t="shared" si="1"/>
        <v>3</v>
      </c>
      <c r="D7" s="2">
        <v>45352.65263571759</v>
      </c>
      <c r="E7" s="4">
        <f t="shared" si="2"/>
        <v>15</v>
      </c>
      <c r="F7" t="s">
        <v>3</v>
      </c>
      <c r="G7" t="s">
        <v>13</v>
      </c>
      <c r="H7" s="3">
        <v>33.799999999999997</v>
      </c>
      <c r="I7" t="s">
        <v>14</v>
      </c>
    </row>
    <row r="8" spans="1:9" x14ac:dyDescent="0.3">
      <c r="A8" s="1">
        <v>45352</v>
      </c>
      <c r="B8" s="4">
        <f t="shared" si="0"/>
        <v>2024</v>
      </c>
      <c r="C8" s="4">
        <f t="shared" si="1"/>
        <v>3</v>
      </c>
      <c r="D8" s="2">
        <v>45352.679893009263</v>
      </c>
      <c r="E8" s="4">
        <f t="shared" si="2"/>
        <v>16</v>
      </c>
      <c r="F8" t="s">
        <v>3</v>
      </c>
      <c r="G8" t="s">
        <v>15</v>
      </c>
      <c r="H8" s="3">
        <v>38.700000000000003</v>
      </c>
      <c r="I8" t="s">
        <v>9</v>
      </c>
    </row>
    <row r="9" spans="1:9" x14ac:dyDescent="0.3">
      <c r="A9" s="1">
        <v>45352</v>
      </c>
      <c r="B9" s="4">
        <f t="shared" si="0"/>
        <v>2024</v>
      </c>
      <c r="C9" s="4">
        <f t="shared" si="1"/>
        <v>3</v>
      </c>
      <c r="D9" s="2">
        <v>45352.777124768516</v>
      </c>
      <c r="E9" s="4">
        <f t="shared" si="2"/>
        <v>18</v>
      </c>
      <c r="F9" t="s">
        <v>3</v>
      </c>
      <c r="G9" t="s">
        <v>16</v>
      </c>
      <c r="H9" s="3">
        <v>33.799999999999997</v>
      </c>
      <c r="I9" t="s">
        <v>14</v>
      </c>
    </row>
    <row r="10" spans="1:9" x14ac:dyDescent="0.3">
      <c r="A10" s="1">
        <v>45352</v>
      </c>
      <c r="B10" s="4">
        <f t="shared" si="0"/>
        <v>2024</v>
      </c>
      <c r="C10" s="4">
        <f t="shared" si="1"/>
        <v>3</v>
      </c>
      <c r="D10" s="2">
        <v>45352.806964837961</v>
      </c>
      <c r="E10" s="4">
        <f t="shared" si="2"/>
        <v>19</v>
      </c>
      <c r="F10" t="s">
        <v>3</v>
      </c>
      <c r="G10" t="s">
        <v>17</v>
      </c>
      <c r="H10" s="3">
        <v>38.700000000000003</v>
      </c>
      <c r="I10" t="s">
        <v>18</v>
      </c>
    </row>
    <row r="11" spans="1:9" x14ac:dyDescent="0.3">
      <c r="A11" s="1">
        <v>45352</v>
      </c>
      <c r="B11" s="4">
        <f t="shared" si="0"/>
        <v>2024</v>
      </c>
      <c r="C11" s="4">
        <f t="shared" si="1"/>
        <v>3</v>
      </c>
      <c r="D11" s="2">
        <v>45352.807822766204</v>
      </c>
      <c r="E11" s="4">
        <f t="shared" si="2"/>
        <v>19</v>
      </c>
      <c r="F11" t="s">
        <v>3</v>
      </c>
      <c r="G11" t="s">
        <v>17</v>
      </c>
      <c r="H11" s="3">
        <v>33.799999999999997</v>
      </c>
      <c r="I11" t="s">
        <v>14</v>
      </c>
    </row>
    <row r="12" spans="1:9" x14ac:dyDescent="0.3">
      <c r="A12" s="1">
        <v>45352</v>
      </c>
      <c r="B12" s="4">
        <f t="shared" si="0"/>
        <v>2024</v>
      </c>
      <c r="C12" s="4">
        <f t="shared" si="1"/>
        <v>3</v>
      </c>
      <c r="D12" s="2">
        <v>45352.812006840279</v>
      </c>
      <c r="E12" s="4">
        <f t="shared" si="2"/>
        <v>19</v>
      </c>
      <c r="F12" t="s">
        <v>3</v>
      </c>
      <c r="G12" t="s">
        <v>19</v>
      </c>
      <c r="H12" s="3">
        <v>33.799999999999997</v>
      </c>
      <c r="I12" t="s">
        <v>14</v>
      </c>
    </row>
    <row r="13" spans="1:9" x14ac:dyDescent="0.3">
      <c r="A13" s="1">
        <v>45353</v>
      </c>
      <c r="B13" s="4">
        <f t="shared" si="0"/>
        <v>2024</v>
      </c>
      <c r="C13" s="4">
        <f t="shared" si="1"/>
        <v>3</v>
      </c>
      <c r="D13" s="2">
        <v>45353.432024965281</v>
      </c>
      <c r="E13" s="4">
        <f t="shared" si="2"/>
        <v>10</v>
      </c>
      <c r="F13" t="s">
        <v>3</v>
      </c>
      <c r="G13" t="s">
        <v>20</v>
      </c>
      <c r="H13" s="3">
        <v>28.9</v>
      </c>
      <c r="I13" t="s">
        <v>11</v>
      </c>
    </row>
    <row r="14" spans="1:9" hidden="1" x14ac:dyDescent="0.3">
      <c r="A14" s="1">
        <v>45353</v>
      </c>
      <c r="B14" s="4">
        <f t="shared" si="0"/>
        <v>2024</v>
      </c>
      <c r="C14" s="4">
        <f t="shared" si="1"/>
        <v>3</v>
      </c>
      <c r="D14" s="2">
        <v>45353.437912824076</v>
      </c>
      <c r="E14" s="4">
        <f t="shared" si="2"/>
        <v>10</v>
      </c>
      <c r="F14" t="s">
        <v>21</v>
      </c>
      <c r="H14" s="3">
        <v>40</v>
      </c>
      <c r="I14" t="s">
        <v>7</v>
      </c>
    </row>
    <row r="15" spans="1:9" x14ac:dyDescent="0.3">
      <c r="A15" s="1">
        <v>45353</v>
      </c>
      <c r="B15" s="4">
        <f t="shared" si="0"/>
        <v>2024</v>
      </c>
      <c r="C15" s="4">
        <f t="shared" si="1"/>
        <v>3</v>
      </c>
      <c r="D15" s="2">
        <v>45353.445616307872</v>
      </c>
      <c r="E15" s="4">
        <f t="shared" si="2"/>
        <v>10</v>
      </c>
      <c r="F15" t="s">
        <v>3</v>
      </c>
      <c r="G15" t="s">
        <v>22</v>
      </c>
      <c r="H15" s="3">
        <v>33.799999999999997</v>
      </c>
      <c r="I15" t="s">
        <v>14</v>
      </c>
    </row>
    <row r="16" spans="1:9" x14ac:dyDescent="0.3">
      <c r="A16" s="1">
        <v>45353</v>
      </c>
      <c r="B16" s="4">
        <f t="shared" si="0"/>
        <v>2024</v>
      </c>
      <c r="C16" s="4">
        <f t="shared" si="1"/>
        <v>3</v>
      </c>
      <c r="D16" s="2">
        <v>45353.499831990739</v>
      </c>
      <c r="E16" s="4">
        <f t="shared" si="2"/>
        <v>11</v>
      </c>
      <c r="F16" t="s">
        <v>3</v>
      </c>
      <c r="G16" t="s">
        <v>23</v>
      </c>
      <c r="H16" s="3">
        <v>33.799999999999997</v>
      </c>
      <c r="I16" t="s">
        <v>14</v>
      </c>
    </row>
    <row r="17" spans="1:9" x14ac:dyDescent="0.3">
      <c r="A17" s="1">
        <v>45353</v>
      </c>
      <c r="B17" s="4">
        <f t="shared" si="0"/>
        <v>2024</v>
      </c>
      <c r="C17" s="4">
        <f t="shared" si="1"/>
        <v>3</v>
      </c>
      <c r="D17" s="2">
        <v>45353.610133506947</v>
      </c>
      <c r="E17" s="4">
        <f t="shared" si="2"/>
        <v>14</v>
      </c>
      <c r="F17" t="s">
        <v>3</v>
      </c>
      <c r="G17" t="s">
        <v>24</v>
      </c>
      <c r="H17" s="3">
        <v>28.9</v>
      </c>
      <c r="I17" t="s">
        <v>11</v>
      </c>
    </row>
    <row r="18" spans="1:9" x14ac:dyDescent="0.3">
      <c r="A18" s="1">
        <v>45353</v>
      </c>
      <c r="B18" s="4">
        <f t="shared" si="0"/>
        <v>2024</v>
      </c>
      <c r="C18" s="4">
        <f t="shared" si="1"/>
        <v>3</v>
      </c>
      <c r="D18" s="2">
        <v>45353.692644386574</v>
      </c>
      <c r="E18" s="4">
        <f t="shared" si="2"/>
        <v>16</v>
      </c>
      <c r="F18" t="s">
        <v>3</v>
      </c>
      <c r="G18" t="s">
        <v>25</v>
      </c>
      <c r="H18" s="3">
        <v>33.799999999999997</v>
      </c>
      <c r="I18" t="s">
        <v>14</v>
      </c>
    </row>
    <row r="19" spans="1:9" hidden="1" x14ac:dyDescent="0.3">
      <c r="A19" s="1">
        <v>45354</v>
      </c>
      <c r="B19" s="4">
        <f t="shared" si="0"/>
        <v>2024</v>
      </c>
      <c r="C19" s="4">
        <f t="shared" si="1"/>
        <v>3</v>
      </c>
      <c r="D19" s="2">
        <v>45354.424120150463</v>
      </c>
      <c r="E19" s="4">
        <f t="shared" si="2"/>
        <v>10</v>
      </c>
      <c r="F19" t="s">
        <v>21</v>
      </c>
      <c r="H19" s="3">
        <v>40</v>
      </c>
      <c r="I19" t="s">
        <v>7</v>
      </c>
    </row>
    <row r="20" spans="1:9" x14ac:dyDescent="0.3">
      <c r="A20" s="1">
        <v>45354</v>
      </c>
      <c r="B20" s="4">
        <f t="shared" si="0"/>
        <v>2024</v>
      </c>
      <c r="C20" s="4">
        <f t="shared" si="1"/>
        <v>3</v>
      </c>
      <c r="D20" s="2">
        <v>45354.435631493056</v>
      </c>
      <c r="E20" s="4">
        <f t="shared" si="2"/>
        <v>10</v>
      </c>
      <c r="F20" t="s">
        <v>3</v>
      </c>
      <c r="G20" t="s">
        <v>26</v>
      </c>
      <c r="H20" s="3">
        <v>38.700000000000003</v>
      </c>
      <c r="I20" t="s">
        <v>7</v>
      </c>
    </row>
    <row r="21" spans="1:9" x14ac:dyDescent="0.3">
      <c r="A21" s="1">
        <v>45354</v>
      </c>
      <c r="B21" s="4">
        <f t="shared" si="0"/>
        <v>2024</v>
      </c>
      <c r="C21" s="4">
        <f t="shared" si="1"/>
        <v>3</v>
      </c>
      <c r="D21" s="2">
        <v>45354.481899513892</v>
      </c>
      <c r="E21" s="4">
        <f t="shared" si="2"/>
        <v>11</v>
      </c>
      <c r="F21" t="s">
        <v>3</v>
      </c>
      <c r="G21" t="s">
        <v>27</v>
      </c>
      <c r="H21" s="3">
        <v>28.9</v>
      </c>
      <c r="I21" t="s">
        <v>28</v>
      </c>
    </row>
    <row r="22" spans="1:9" x14ac:dyDescent="0.3">
      <c r="A22" s="1">
        <v>45354</v>
      </c>
      <c r="B22" s="4">
        <f t="shared" si="0"/>
        <v>2024</v>
      </c>
      <c r="C22" s="4">
        <f t="shared" si="1"/>
        <v>3</v>
      </c>
      <c r="D22" s="2">
        <v>45354.518704837959</v>
      </c>
      <c r="E22" s="4">
        <f t="shared" si="2"/>
        <v>12</v>
      </c>
      <c r="F22" t="s">
        <v>3</v>
      </c>
      <c r="G22" t="s">
        <v>23</v>
      </c>
      <c r="H22" s="3">
        <v>28.9</v>
      </c>
      <c r="I22" t="s">
        <v>11</v>
      </c>
    </row>
    <row r="23" spans="1:9" x14ac:dyDescent="0.3">
      <c r="A23" s="1">
        <v>45354</v>
      </c>
      <c r="B23" s="4">
        <f t="shared" si="0"/>
        <v>2024</v>
      </c>
      <c r="C23" s="4">
        <f t="shared" si="1"/>
        <v>3</v>
      </c>
      <c r="D23" s="2">
        <v>45354.548337048611</v>
      </c>
      <c r="E23" s="4">
        <f t="shared" si="2"/>
        <v>13</v>
      </c>
      <c r="F23" t="s">
        <v>3</v>
      </c>
      <c r="G23" t="s">
        <v>29</v>
      </c>
      <c r="H23" s="3">
        <v>38.700000000000003</v>
      </c>
      <c r="I23" t="s">
        <v>9</v>
      </c>
    </row>
    <row r="24" spans="1:9" x14ac:dyDescent="0.3">
      <c r="A24" s="1">
        <v>45354</v>
      </c>
      <c r="B24" s="4">
        <f t="shared" si="0"/>
        <v>2024</v>
      </c>
      <c r="C24" s="4">
        <f t="shared" si="1"/>
        <v>3</v>
      </c>
      <c r="D24" s="2">
        <v>45354.712966099534</v>
      </c>
      <c r="E24" s="4">
        <f t="shared" si="2"/>
        <v>17</v>
      </c>
      <c r="F24" t="s">
        <v>3</v>
      </c>
      <c r="G24" t="s">
        <v>30</v>
      </c>
      <c r="H24" s="3">
        <v>38.700000000000003</v>
      </c>
      <c r="I24" t="s">
        <v>18</v>
      </c>
    </row>
    <row r="25" spans="1:9" x14ac:dyDescent="0.3">
      <c r="A25" s="1">
        <v>45354</v>
      </c>
      <c r="B25" s="4">
        <f t="shared" si="0"/>
        <v>2024</v>
      </c>
      <c r="C25" s="4">
        <f t="shared" si="1"/>
        <v>3</v>
      </c>
      <c r="D25" s="2">
        <v>45354.714420081022</v>
      </c>
      <c r="E25" s="4">
        <f t="shared" si="2"/>
        <v>17</v>
      </c>
      <c r="F25" t="s">
        <v>3</v>
      </c>
      <c r="G25" t="s">
        <v>31</v>
      </c>
      <c r="H25" s="3">
        <v>28.9</v>
      </c>
      <c r="I25" t="s">
        <v>28</v>
      </c>
    </row>
    <row r="26" spans="1:9" x14ac:dyDescent="0.3">
      <c r="A26" s="1">
        <v>45354</v>
      </c>
      <c r="B26" s="4">
        <f t="shared" si="0"/>
        <v>2024</v>
      </c>
      <c r="C26" s="4">
        <f t="shared" si="1"/>
        <v>3</v>
      </c>
      <c r="D26" s="2">
        <v>45354.752353807868</v>
      </c>
      <c r="E26" s="4">
        <f t="shared" si="2"/>
        <v>18</v>
      </c>
      <c r="F26" t="s">
        <v>3</v>
      </c>
      <c r="G26" t="s">
        <v>32</v>
      </c>
      <c r="H26" s="3">
        <v>33.799999999999997</v>
      </c>
      <c r="I26" t="s">
        <v>14</v>
      </c>
    </row>
    <row r="27" spans="1:9" x14ac:dyDescent="0.3">
      <c r="A27" s="1">
        <v>45354</v>
      </c>
      <c r="B27" s="4">
        <f t="shared" si="0"/>
        <v>2024</v>
      </c>
      <c r="C27" s="4">
        <f t="shared" si="1"/>
        <v>3</v>
      </c>
      <c r="D27" s="2">
        <v>45354.753101226852</v>
      </c>
      <c r="E27" s="4">
        <f t="shared" si="2"/>
        <v>18</v>
      </c>
      <c r="F27" t="s">
        <v>3</v>
      </c>
      <c r="G27" t="s">
        <v>32</v>
      </c>
      <c r="H27" s="3">
        <v>33.799999999999997</v>
      </c>
      <c r="I27" t="s">
        <v>14</v>
      </c>
    </row>
    <row r="28" spans="1:9" x14ac:dyDescent="0.3">
      <c r="A28" s="1">
        <v>45354</v>
      </c>
      <c r="B28" s="4">
        <f t="shared" si="0"/>
        <v>2024</v>
      </c>
      <c r="C28" s="4">
        <f t="shared" si="1"/>
        <v>3</v>
      </c>
      <c r="D28" s="2">
        <v>45354.755612951391</v>
      </c>
      <c r="E28" s="4">
        <f t="shared" si="2"/>
        <v>18</v>
      </c>
      <c r="F28" t="s">
        <v>3</v>
      </c>
      <c r="G28" t="s">
        <v>32</v>
      </c>
      <c r="H28" s="3">
        <v>38.700000000000003</v>
      </c>
      <c r="I28" t="s">
        <v>9</v>
      </c>
    </row>
    <row r="29" spans="1:9" x14ac:dyDescent="0.3">
      <c r="A29" s="1">
        <v>45355</v>
      </c>
      <c r="B29" s="4">
        <f t="shared" si="0"/>
        <v>2024</v>
      </c>
      <c r="C29" s="4">
        <f t="shared" si="1"/>
        <v>3</v>
      </c>
      <c r="D29" s="2">
        <v>45355.41935178241</v>
      </c>
      <c r="E29" s="4">
        <f t="shared" si="2"/>
        <v>10</v>
      </c>
      <c r="F29" t="s">
        <v>3</v>
      </c>
      <c r="G29" t="s">
        <v>6</v>
      </c>
      <c r="H29" s="3">
        <v>38.700000000000003</v>
      </c>
      <c r="I29" t="s">
        <v>7</v>
      </c>
    </row>
    <row r="30" spans="1:9" x14ac:dyDescent="0.3">
      <c r="A30" s="1">
        <v>45355</v>
      </c>
      <c r="B30" s="4">
        <f t="shared" si="0"/>
        <v>2024</v>
      </c>
      <c r="C30" s="4">
        <f t="shared" si="1"/>
        <v>3</v>
      </c>
      <c r="D30" s="2">
        <v>45355.454756458334</v>
      </c>
      <c r="E30" s="4">
        <f t="shared" si="2"/>
        <v>10</v>
      </c>
      <c r="F30" t="s">
        <v>3</v>
      </c>
      <c r="G30" t="s">
        <v>33</v>
      </c>
      <c r="H30" s="3">
        <v>38.700000000000003</v>
      </c>
      <c r="I30" t="s">
        <v>7</v>
      </c>
    </row>
    <row r="31" spans="1:9" x14ac:dyDescent="0.3">
      <c r="A31" s="1">
        <v>45355</v>
      </c>
      <c r="B31" s="4">
        <f t="shared" si="0"/>
        <v>2024</v>
      </c>
      <c r="C31" s="4">
        <f t="shared" si="1"/>
        <v>3</v>
      </c>
      <c r="D31" s="2">
        <v>45355.461992870369</v>
      </c>
      <c r="E31" s="4">
        <f t="shared" si="2"/>
        <v>11</v>
      </c>
      <c r="F31" t="s">
        <v>3</v>
      </c>
      <c r="G31" t="s">
        <v>23</v>
      </c>
      <c r="H31" s="3">
        <v>33.799999999999997</v>
      </c>
      <c r="I31" t="s">
        <v>14</v>
      </c>
    </row>
    <row r="32" spans="1:9" x14ac:dyDescent="0.3">
      <c r="A32" s="1">
        <v>45355</v>
      </c>
      <c r="B32" s="4">
        <f t="shared" si="0"/>
        <v>2024</v>
      </c>
      <c r="C32" s="4">
        <f t="shared" si="1"/>
        <v>3</v>
      </c>
      <c r="D32" s="2">
        <v>45355.586547847219</v>
      </c>
      <c r="E32" s="4">
        <f t="shared" si="2"/>
        <v>14</v>
      </c>
      <c r="F32" t="s">
        <v>3</v>
      </c>
      <c r="G32" t="s">
        <v>34</v>
      </c>
      <c r="H32" s="3">
        <v>24</v>
      </c>
      <c r="I32" t="s">
        <v>35</v>
      </c>
    </row>
    <row r="33" spans="1:9" x14ac:dyDescent="0.3">
      <c r="A33" s="1">
        <v>45356</v>
      </c>
      <c r="B33" s="4">
        <f t="shared" si="0"/>
        <v>2024</v>
      </c>
      <c r="C33" s="4">
        <f t="shared" si="1"/>
        <v>3</v>
      </c>
      <c r="D33" s="2">
        <v>45356.416581608799</v>
      </c>
      <c r="E33" s="4">
        <f t="shared" si="2"/>
        <v>9</v>
      </c>
      <c r="F33" t="s">
        <v>3</v>
      </c>
      <c r="G33" t="s">
        <v>6</v>
      </c>
      <c r="H33" s="3">
        <v>38.700000000000003</v>
      </c>
      <c r="I33" t="s">
        <v>7</v>
      </c>
    </row>
    <row r="34" spans="1:9" x14ac:dyDescent="0.3">
      <c r="A34" s="1">
        <v>45356</v>
      </c>
      <c r="B34" s="4">
        <f t="shared" si="0"/>
        <v>2024</v>
      </c>
      <c r="C34" s="4">
        <f t="shared" si="1"/>
        <v>3</v>
      </c>
      <c r="D34" s="2">
        <v>45356.60759216435</v>
      </c>
      <c r="E34" s="4">
        <f t="shared" si="2"/>
        <v>14</v>
      </c>
      <c r="F34" t="s">
        <v>3</v>
      </c>
      <c r="G34" t="s">
        <v>36</v>
      </c>
      <c r="H34" s="3">
        <v>38.700000000000003</v>
      </c>
      <c r="I34" t="s">
        <v>7</v>
      </c>
    </row>
    <row r="35" spans="1:9" x14ac:dyDescent="0.3">
      <c r="A35" s="1">
        <v>45356</v>
      </c>
      <c r="B35" s="4">
        <f t="shared" si="0"/>
        <v>2024</v>
      </c>
      <c r="C35" s="4">
        <f t="shared" si="1"/>
        <v>3</v>
      </c>
      <c r="D35" s="2">
        <v>45356.732014386573</v>
      </c>
      <c r="E35" s="4">
        <f t="shared" si="2"/>
        <v>17</v>
      </c>
      <c r="F35" t="s">
        <v>3</v>
      </c>
      <c r="G35" t="s">
        <v>37</v>
      </c>
      <c r="H35" s="3">
        <v>38.700000000000003</v>
      </c>
      <c r="I35" t="s">
        <v>7</v>
      </c>
    </row>
    <row r="36" spans="1:9" x14ac:dyDescent="0.3">
      <c r="A36" s="1">
        <v>45356</v>
      </c>
      <c r="B36" s="4">
        <f t="shared" si="0"/>
        <v>2024</v>
      </c>
      <c r="C36" s="4">
        <f t="shared" si="1"/>
        <v>3</v>
      </c>
      <c r="D36" s="2">
        <v>45356.732928483798</v>
      </c>
      <c r="E36" s="4">
        <f t="shared" si="2"/>
        <v>17</v>
      </c>
      <c r="F36" t="s">
        <v>3</v>
      </c>
      <c r="G36" t="s">
        <v>38</v>
      </c>
      <c r="H36" s="3">
        <v>38.700000000000003</v>
      </c>
      <c r="I36" t="s">
        <v>9</v>
      </c>
    </row>
    <row r="37" spans="1:9" x14ac:dyDescent="0.3">
      <c r="A37" s="1">
        <v>45356</v>
      </c>
      <c r="B37" s="4">
        <f t="shared" si="0"/>
        <v>2024</v>
      </c>
      <c r="C37" s="4">
        <f t="shared" si="1"/>
        <v>3</v>
      </c>
      <c r="D37" s="2">
        <v>45356.733664016203</v>
      </c>
      <c r="E37" s="4">
        <f t="shared" si="2"/>
        <v>17</v>
      </c>
      <c r="F37" t="s">
        <v>3</v>
      </c>
      <c r="G37" t="s">
        <v>39</v>
      </c>
      <c r="H37" s="3">
        <v>38.700000000000003</v>
      </c>
      <c r="I37" t="s">
        <v>18</v>
      </c>
    </row>
    <row r="38" spans="1:9" x14ac:dyDescent="0.3">
      <c r="A38" s="1">
        <v>45356</v>
      </c>
      <c r="B38" s="4">
        <f t="shared" si="0"/>
        <v>2024</v>
      </c>
      <c r="C38" s="4">
        <f t="shared" si="1"/>
        <v>3</v>
      </c>
      <c r="D38" s="2">
        <v>45356.734185868052</v>
      </c>
      <c r="E38" s="4">
        <f t="shared" si="2"/>
        <v>17</v>
      </c>
      <c r="F38" t="s">
        <v>3</v>
      </c>
      <c r="G38" t="s">
        <v>40</v>
      </c>
      <c r="H38" s="3">
        <v>38.700000000000003</v>
      </c>
      <c r="I38" t="s">
        <v>9</v>
      </c>
    </row>
    <row r="39" spans="1:9" x14ac:dyDescent="0.3">
      <c r="A39" s="1">
        <v>45356</v>
      </c>
      <c r="B39" s="4">
        <f t="shared" si="0"/>
        <v>2024</v>
      </c>
      <c r="C39" s="4">
        <f t="shared" si="1"/>
        <v>3</v>
      </c>
      <c r="D39" s="2">
        <v>45356.734830486108</v>
      </c>
      <c r="E39" s="4">
        <f t="shared" si="2"/>
        <v>17</v>
      </c>
      <c r="F39" t="s">
        <v>3</v>
      </c>
      <c r="G39" t="s">
        <v>19</v>
      </c>
      <c r="H39" s="3">
        <v>38.700000000000003</v>
      </c>
      <c r="I39" t="s">
        <v>9</v>
      </c>
    </row>
    <row r="40" spans="1:9" x14ac:dyDescent="0.3">
      <c r="A40" s="1">
        <v>45356</v>
      </c>
      <c r="B40" s="4">
        <f t="shared" si="0"/>
        <v>2024</v>
      </c>
      <c r="C40" s="4">
        <f t="shared" si="1"/>
        <v>3</v>
      </c>
      <c r="D40" s="2">
        <v>45356.747404814814</v>
      </c>
      <c r="E40" s="4">
        <f t="shared" si="2"/>
        <v>17</v>
      </c>
      <c r="F40" t="s">
        <v>3</v>
      </c>
      <c r="G40" t="s">
        <v>41</v>
      </c>
      <c r="H40" s="3">
        <v>28.9</v>
      </c>
      <c r="I40" t="s">
        <v>28</v>
      </c>
    </row>
    <row r="41" spans="1:9" x14ac:dyDescent="0.3">
      <c r="A41" s="1">
        <v>45356</v>
      </c>
      <c r="B41" s="4">
        <f t="shared" si="0"/>
        <v>2024</v>
      </c>
      <c r="C41" s="4">
        <f t="shared" si="1"/>
        <v>3</v>
      </c>
      <c r="D41" s="2">
        <v>45356.751056041663</v>
      </c>
      <c r="E41" s="4">
        <f t="shared" si="2"/>
        <v>18</v>
      </c>
      <c r="F41" t="s">
        <v>3</v>
      </c>
      <c r="G41" t="s">
        <v>41</v>
      </c>
      <c r="H41" s="3">
        <v>38.700000000000003</v>
      </c>
      <c r="I41" t="s">
        <v>9</v>
      </c>
    </row>
    <row r="42" spans="1:9" hidden="1" x14ac:dyDescent="0.3">
      <c r="A42" s="1">
        <v>45357</v>
      </c>
      <c r="B42" s="4">
        <f t="shared" si="0"/>
        <v>2024</v>
      </c>
      <c r="C42" s="4">
        <f t="shared" si="1"/>
        <v>3</v>
      </c>
      <c r="D42" s="2">
        <v>45357.521146863422</v>
      </c>
      <c r="E42" s="4">
        <f t="shared" si="2"/>
        <v>12</v>
      </c>
      <c r="F42" t="s">
        <v>21</v>
      </c>
      <c r="H42" s="3">
        <v>35</v>
      </c>
      <c r="I42" t="s">
        <v>14</v>
      </c>
    </row>
    <row r="43" spans="1:9" x14ac:dyDescent="0.3">
      <c r="A43" s="1">
        <v>45357</v>
      </c>
      <c r="B43" s="4">
        <f t="shared" si="0"/>
        <v>2024</v>
      </c>
      <c r="C43" s="4">
        <f t="shared" si="1"/>
        <v>3</v>
      </c>
      <c r="D43" s="2">
        <v>45357.558422071757</v>
      </c>
      <c r="E43" s="4">
        <f t="shared" si="2"/>
        <v>13</v>
      </c>
      <c r="F43" t="s">
        <v>3</v>
      </c>
      <c r="G43" t="s">
        <v>23</v>
      </c>
      <c r="H43" s="3">
        <v>28.9</v>
      </c>
      <c r="I43" t="s">
        <v>11</v>
      </c>
    </row>
    <row r="44" spans="1:9" x14ac:dyDescent="0.3">
      <c r="A44" s="1">
        <v>45357</v>
      </c>
      <c r="B44" s="4">
        <f t="shared" si="0"/>
        <v>2024</v>
      </c>
      <c r="C44" s="4">
        <f t="shared" si="1"/>
        <v>3</v>
      </c>
      <c r="D44" s="2">
        <v>45357.559193877314</v>
      </c>
      <c r="E44" s="4">
        <f t="shared" si="2"/>
        <v>13</v>
      </c>
      <c r="F44" t="s">
        <v>3</v>
      </c>
      <c r="G44" t="s">
        <v>23</v>
      </c>
      <c r="H44" s="3">
        <v>28.9</v>
      </c>
      <c r="I44" t="s">
        <v>28</v>
      </c>
    </row>
    <row r="45" spans="1:9" x14ac:dyDescent="0.3">
      <c r="A45" s="1">
        <v>45357</v>
      </c>
      <c r="B45" s="4">
        <f t="shared" si="0"/>
        <v>2024</v>
      </c>
      <c r="C45" s="4">
        <f t="shared" si="1"/>
        <v>3</v>
      </c>
      <c r="D45" s="2">
        <v>45357.619464826392</v>
      </c>
      <c r="E45" s="4">
        <f t="shared" si="2"/>
        <v>14</v>
      </c>
      <c r="F45" t="s">
        <v>3</v>
      </c>
      <c r="G45" t="s">
        <v>42</v>
      </c>
      <c r="H45" s="3">
        <v>38.700000000000003</v>
      </c>
      <c r="I45" t="s">
        <v>43</v>
      </c>
    </row>
    <row r="46" spans="1:9" x14ac:dyDescent="0.3">
      <c r="A46" s="1">
        <v>45357</v>
      </c>
      <c r="B46" s="4">
        <f t="shared" si="0"/>
        <v>2024</v>
      </c>
      <c r="C46" s="4">
        <f t="shared" si="1"/>
        <v>3</v>
      </c>
      <c r="D46" s="2">
        <v>45357.620351203703</v>
      </c>
      <c r="E46" s="4">
        <f t="shared" si="2"/>
        <v>14</v>
      </c>
      <c r="F46" t="s">
        <v>3</v>
      </c>
      <c r="G46" t="s">
        <v>42</v>
      </c>
      <c r="H46" s="3">
        <v>38.700000000000003</v>
      </c>
      <c r="I46" t="s">
        <v>43</v>
      </c>
    </row>
    <row r="47" spans="1:9" hidden="1" x14ac:dyDescent="0.3">
      <c r="A47" s="1">
        <v>45358</v>
      </c>
      <c r="B47" s="4">
        <f t="shared" si="0"/>
        <v>2024</v>
      </c>
      <c r="C47" s="4">
        <f t="shared" si="1"/>
        <v>3</v>
      </c>
      <c r="D47" s="2">
        <v>45358.42290445602</v>
      </c>
      <c r="E47" s="4">
        <f t="shared" si="2"/>
        <v>10</v>
      </c>
      <c r="F47" t="s">
        <v>21</v>
      </c>
      <c r="H47" s="3">
        <v>40</v>
      </c>
      <c r="I47" t="s">
        <v>7</v>
      </c>
    </row>
    <row r="48" spans="1:9" x14ac:dyDescent="0.3">
      <c r="A48" s="1">
        <v>45358</v>
      </c>
      <c r="B48" s="4">
        <f t="shared" si="0"/>
        <v>2024</v>
      </c>
      <c r="C48" s="4">
        <f t="shared" si="1"/>
        <v>3</v>
      </c>
      <c r="D48" s="2">
        <v>45358.429635914355</v>
      </c>
      <c r="E48" s="4">
        <f t="shared" si="2"/>
        <v>10</v>
      </c>
      <c r="F48" t="s">
        <v>3</v>
      </c>
      <c r="G48" t="s">
        <v>44</v>
      </c>
      <c r="H48" s="3">
        <v>38.700000000000003</v>
      </c>
      <c r="I48" t="s">
        <v>9</v>
      </c>
    </row>
    <row r="49" spans="1:9" x14ac:dyDescent="0.3">
      <c r="A49" s="1">
        <v>45358</v>
      </c>
      <c r="B49" s="4">
        <f t="shared" si="0"/>
        <v>2024</v>
      </c>
      <c r="C49" s="4">
        <f t="shared" si="1"/>
        <v>3</v>
      </c>
      <c r="D49" s="2">
        <v>45358.461099259257</v>
      </c>
      <c r="E49" s="4">
        <f t="shared" si="2"/>
        <v>11</v>
      </c>
      <c r="F49" t="s">
        <v>3</v>
      </c>
      <c r="G49" t="s">
        <v>45</v>
      </c>
      <c r="H49" s="3">
        <v>38.700000000000003</v>
      </c>
      <c r="I49" t="s">
        <v>7</v>
      </c>
    </row>
    <row r="50" spans="1:9" hidden="1" x14ac:dyDescent="0.3">
      <c r="A50" s="1">
        <v>45358</v>
      </c>
      <c r="B50" s="4">
        <f t="shared" si="0"/>
        <v>2024</v>
      </c>
      <c r="C50" s="4">
        <f t="shared" si="1"/>
        <v>3</v>
      </c>
      <c r="D50" s="2">
        <v>45358.476203437502</v>
      </c>
      <c r="E50" s="4">
        <f t="shared" si="2"/>
        <v>11</v>
      </c>
      <c r="F50" t="s">
        <v>21</v>
      </c>
      <c r="H50" s="3">
        <v>40</v>
      </c>
      <c r="I50" t="s">
        <v>7</v>
      </c>
    </row>
    <row r="51" spans="1:9" x14ac:dyDescent="0.3">
      <c r="A51" s="1">
        <v>45358</v>
      </c>
      <c r="B51" s="4">
        <f t="shared" si="0"/>
        <v>2024</v>
      </c>
      <c r="C51" s="4">
        <f t="shared" si="1"/>
        <v>3</v>
      </c>
      <c r="D51" s="2">
        <v>45358.653039421297</v>
      </c>
      <c r="E51" s="4">
        <f t="shared" si="2"/>
        <v>15</v>
      </c>
      <c r="F51" t="s">
        <v>3</v>
      </c>
      <c r="G51" t="s">
        <v>46</v>
      </c>
      <c r="H51" s="3">
        <v>28.9</v>
      </c>
      <c r="I51" t="s">
        <v>11</v>
      </c>
    </row>
    <row r="52" spans="1:9" x14ac:dyDescent="0.3">
      <c r="A52" s="1">
        <v>45358</v>
      </c>
      <c r="B52" s="4">
        <f t="shared" si="0"/>
        <v>2024</v>
      </c>
      <c r="C52" s="4">
        <f t="shared" si="1"/>
        <v>3</v>
      </c>
      <c r="D52" s="2">
        <v>45358.65380537037</v>
      </c>
      <c r="E52" s="4">
        <f t="shared" si="2"/>
        <v>15</v>
      </c>
      <c r="F52" t="s">
        <v>3</v>
      </c>
      <c r="G52" t="s">
        <v>47</v>
      </c>
      <c r="H52" s="3">
        <v>33.799999999999997</v>
      </c>
      <c r="I52" t="s">
        <v>14</v>
      </c>
    </row>
    <row r="53" spans="1:9" x14ac:dyDescent="0.3">
      <c r="A53" s="1">
        <v>45359</v>
      </c>
      <c r="B53" s="4">
        <f t="shared" si="0"/>
        <v>2024</v>
      </c>
      <c r="C53" s="4">
        <f t="shared" si="1"/>
        <v>3</v>
      </c>
      <c r="D53" s="2">
        <v>45359.44075559028</v>
      </c>
      <c r="E53" s="4">
        <f t="shared" si="2"/>
        <v>10</v>
      </c>
      <c r="F53" t="s">
        <v>3</v>
      </c>
      <c r="G53" t="s">
        <v>23</v>
      </c>
      <c r="H53" s="3">
        <v>28.9</v>
      </c>
      <c r="I53" t="s">
        <v>28</v>
      </c>
    </row>
    <row r="54" spans="1:9" x14ac:dyDescent="0.3">
      <c r="A54" s="1">
        <v>45359</v>
      </c>
      <c r="B54" s="4">
        <f t="shared" si="0"/>
        <v>2024</v>
      </c>
      <c r="C54" s="4">
        <f t="shared" si="1"/>
        <v>3</v>
      </c>
      <c r="D54" s="2">
        <v>45359.515609409726</v>
      </c>
      <c r="E54" s="4">
        <f t="shared" si="2"/>
        <v>12</v>
      </c>
      <c r="F54" t="s">
        <v>3</v>
      </c>
      <c r="G54" t="s">
        <v>48</v>
      </c>
      <c r="H54" s="3">
        <v>38.700000000000003</v>
      </c>
      <c r="I54" t="s">
        <v>43</v>
      </c>
    </row>
    <row r="55" spans="1:9" x14ac:dyDescent="0.3">
      <c r="A55" s="1">
        <v>45359</v>
      </c>
      <c r="B55" s="4">
        <f t="shared" si="0"/>
        <v>2024</v>
      </c>
      <c r="C55" s="4">
        <f t="shared" si="1"/>
        <v>3</v>
      </c>
      <c r="D55" s="2">
        <v>45359.578495856484</v>
      </c>
      <c r="E55" s="4">
        <f t="shared" si="2"/>
        <v>13</v>
      </c>
      <c r="F55" t="s">
        <v>3</v>
      </c>
      <c r="G55" t="s">
        <v>49</v>
      </c>
      <c r="H55" s="3">
        <v>28.9</v>
      </c>
      <c r="I55" t="s">
        <v>11</v>
      </c>
    </row>
    <row r="56" spans="1:9" x14ac:dyDescent="0.3">
      <c r="A56" s="1">
        <v>45359</v>
      </c>
      <c r="B56" s="4">
        <f t="shared" si="0"/>
        <v>2024</v>
      </c>
      <c r="C56" s="4">
        <f t="shared" si="1"/>
        <v>3</v>
      </c>
      <c r="D56" s="2">
        <v>45359.61403571759</v>
      </c>
      <c r="E56" s="4">
        <f t="shared" si="2"/>
        <v>14</v>
      </c>
      <c r="F56" t="s">
        <v>3</v>
      </c>
      <c r="G56" t="s">
        <v>23</v>
      </c>
      <c r="H56" s="3">
        <v>28.9</v>
      </c>
      <c r="I56" t="s">
        <v>11</v>
      </c>
    </row>
    <row r="57" spans="1:9" x14ac:dyDescent="0.3">
      <c r="A57" s="1">
        <v>45359</v>
      </c>
      <c r="B57" s="4">
        <f t="shared" si="0"/>
        <v>2024</v>
      </c>
      <c r="C57" s="4">
        <f t="shared" si="1"/>
        <v>3</v>
      </c>
      <c r="D57" s="2">
        <v>45359.614711203707</v>
      </c>
      <c r="E57" s="4">
        <f t="shared" si="2"/>
        <v>14</v>
      </c>
      <c r="F57" t="s">
        <v>3</v>
      </c>
      <c r="G57" t="s">
        <v>47</v>
      </c>
      <c r="H57" s="3">
        <v>28.9</v>
      </c>
      <c r="I57" t="s">
        <v>11</v>
      </c>
    </row>
    <row r="58" spans="1:9" x14ac:dyDescent="0.3">
      <c r="A58" s="1">
        <v>45359</v>
      </c>
      <c r="B58" s="4">
        <f t="shared" si="0"/>
        <v>2024</v>
      </c>
      <c r="C58" s="4">
        <f t="shared" si="1"/>
        <v>3</v>
      </c>
      <c r="D58" s="2">
        <v>45359.615406886573</v>
      </c>
      <c r="E58" s="4">
        <f t="shared" si="2"/>
        <v>14</v>
      </c>
      <c r="F58" t="s">
        <v>3</v>
      </c>
      <c r="G58" t="s">
        <v>23</v>
      </c>
      <c r="H58" s="3">
        <v>33.799999999999997</v>
      </c>
      <c r="I58" t="s">
        <v>14</v>
      </c>
    </row>
    <row r="59" spans="1:9" x14ac:dyDescent="0.3">
      <c r="A59" s="1">
        <v>45359</v>
      </c>
      <c r="B59" s="4">
        <f t="shared" si="0"/>
        <v>2024</v>
      </c>
      <c r="C59" s="4">
        <f t="shared" si="1"/>
        <v>3</v>
      </c>
      <c r="D59" s="2">
        <v>45359.790178831019</v>
      </c>
      <c r="E59" s="4">
        <f t="shared" si="2"/>
        <v>18</v>
      </c>
      <c r="F59" t="s">
        <v>3</v>
      </c>
      <c r="G59" t="s">
        <v>50</v>
      </c>
      <c r="H59" s="3">
        <v>38.700000000000003</v>
      </c>
      <c r="I59" t="s">
        <v>7</v>
      </c>
    </row>
    <row r="60" spans="1:9" x14ac:dyDescent="0.3">
      <c r="A60" s="1">
        <v>45359</v>
      </c>
      <c r="B60" s="4">
        <f t="shared" si="0"/>
        <v>2024</v>
      </c>
      <c r="C60" s="4">
        <f t="shared" si="1"/>
        <v>3</v>
      </c>
      <c r="D60" s="2">
        <v>45359.791260891201</v>
      </c>
      <c r="E60" s="4">
        <f t="shared" si="2"/>
        <v>18</v>
      </c>
      <c r="F60" t="s">
        <v>3</v>
      </c>
      <c r="G60" t="s">
        <v>51</v>
      </c>
      <c r="H60" s="3">
        <v>38.700000000000003</v>
      </c>
      <c r="I60" t="s">
        <v>7</v>
      </c>
    </row>
    <row r="61" spans="1:9" hidden="1" x14ac:dyDescent="0.3">
      <c r="A61" s="1">
        <v>45360</v>
      </c>
      <c r="B61" s="4">
        <f t="shared" si="0"/>
        <v>2024</v>
      </c>
      <c r="C61" s="4">
        <f t="shared" si="1"/>
        <v>3</v>
      </c>
      <c r="D61" s="2">
        <v>45360.492792731478</v>
      </c>
      <c r="E61" s="4">
        <f t="shared" si="2"/>
        <v>11</v>
      </c>
      <c r="F61" t="s">
        <v>21</v>
      </c>
      <c r="H61" s="3">
        <v>40</v>
      </c>
      <c r="I61" t="s">
        <v>9</v>
      </c>
    </row>
    <row r="62" spans="1:9" x14ac:dyDescent="0.3">
      <c r="A62" s="1">
        <v>45360</v>
      </c>
      <c r="B62" s="4">
        <f t="shared" si="0"/>
        <v>2024</v>
      </c>
      <c r="C62" s="4">
        <f t="shared" si="1"/>
        <v>3</v>
      </c>
      <c r="D62" s="2">
        <v>45360.50365230324</v>
      </c>
      <c r="E62" s="4">
        <f t="shared" si="2"/>
        <v>12</v>
      </c>
      <c r="F62" t="s">
        <v>3</v>
      </c>
      <c r="G62" t="s">
        <v>52</v>
      </c>
      <c r="H62" s="3">
        <v>24</v>
      </c>
      <c r="I62" t="s">
        <v>35</v>
      </c>
    </row>
    <row r="63" spans="1:9" x14ac:dyDescent="0.3">
      <c r="A63" s="1">
        <v>45360</v>
      </c>
      <c r="B63" s="4">
        <f t="shared" si="0"/>
        <v>2024</v>
      </c>
      <c r="C63" s="4">
        <f t="shared" si="1"/>
        <v>3</v>
      </c>
      <c r="D63" s="2">
        <v>45360.505304108796</v>
      </c>
      <c r="E63" s="4">
        <f t="shared" si="2"/>
        <v>12</v>
      </c>
      <c r="F63" t="s">
        <v>3</v>
      </c>
      <c r="G63" t="s">
        <v>53</v>
      </c>
      <c r="H63" s="3">
        <v>28.9</v>
      </c>
      <c r="I63" t="s">
        <v>11</v>
      </c>
    </row>
    <row r="64" spans="1:9" x14ac:dyDescent="0.3">
      <c r="A64" s="1">
        <v>45360</v>
      </c>
      <c r="B64" s="4">
        <f t="shared" si="0"/>
        <v>2024</v>
      </c>
      <c r="C64" s="4">
        <f t="shared" si="1"/>
        <v>3</v>
      </c>
      <c r="D64" s="2">
        <v>45360.506802245371</v>
      </c>
      <c r="E64" s="4">
        <f t="shared" si="2"/>
        <v>12</v>
      </c>
      <c r="F64" t="s">
        <v>3</v>
      </c>
      <c r="G64" t="s">
        <v>23</v>
      </c>
      <c r="H64" s="3">
        <v>38.700000000000003</v>
      </c>
      <c r="I64" t="s">
        <v>43</v>
      </c>
    </row>
    <row r="65" spans="1:9" x14ac:dyDescent="0.3">
      <c r="A65" s="1">
        <v>45360</v>
      </c>
      <c r="B65" s="4">
        <f t="shared" ref="B65:B128" si="3">YEAR(A65)</f>
        <v>2024</v>
      </c>
      <c r="C65" s="4">
        <f t="shared" ref="C65:C128" si="4">MONTH(A65)</f>
        <v>3</v>
      </c>
      <c r="D65" s="2">
        <v>45360.509068530089</v>
      </c>
      <c r="E65" s="4">
        <f t="shared" ref="E65:E128" si="5">HOUR(D65)</f>
        <v>12</v>
      </c>
      <c r="F65" t="s">
        <v>3</v>
      </c>
      <c r="G65" t="s">
        <v>54</v>
      </c>
      <c r="H65" s="3">
        <v>28.9</v>
      </c>
      <c r="I65" t="s">
        <v>11</v>
      </c>
    </row>
    <row r="66" spans="1:9" x14ac:dyDescent="0.3">
      <c r="A66" s="1">
        <v>45360</v>
      </c>
      <c r="B66" s="4">
        <f t="shared" si="3"/>
        <v>2024</v>
      </c>
      <c r="C66" s="4">
        <f t="shared" si="4"/>
        <v>3</v>
      </c>
      <c r="D66" s="2">
        <v>45360.510028449076</v>
      </c>
      <c r="E66" s="4">
        <f t="shared" si="5"/>
        <v>12</v>
      </c>
      <c r="F66" t="s">
        <v>3</v>
      </c>
      <c r="G66" t="s">
        <v>54</v>
      </c>
      <c r="H66" s="3">
        <v>28.9</v>
      </c>
      <c r="I66" t="s">
        <v>11</v>
      </c>
    </row>
    <row r="67" spans="1:9" x14ac:dyDescent="0.3">
      <c r="A67" s="1">
        <v>45360</v>
      </c>
      <c r="B67" s="4">
        <f t="shared" si="3"/>
        <v>2024</v>
      </c>
      <c r="C67" s="4">
        <f t="shared" si="4"/>
        <v>3</v>
      </c>
      <c r="D67" s="2">
        <v>45360.548173946758</v>
      </c>
      <c r="E67" s="4">
        <f t="shared" si="5"/>
        <v>13</v>
      </c>
      <c r="F67" t="s">
        <v>3</v>
      </c>
      <c r="G67" t="s">
        <v>55</v>
      </c>
      <c r="H67" s="3">
        <v>38.700000000000003</v>
      </c>
      <c r="I67" t="s">
        <v>7</v>
      </c>
    </row>
    <row r="68" spans="1:9" x14ac:dyDescent="0.3">
      <c r="A68" s="1">
        <v>45360</v>
      </c>
      <c r="B68" s="4">
        <f t="shared" si="3"/>
        <v>2024</v>
      </c>
      <c r="C68" s="4">
        <f t="shared" si="4"/>
        <v>3</v>
      </c>
      <c r="D68" s="2">
        <v>45360.570210266204</v>
      </c>
      <c r="E68" s="4">
        <f t="shared" si="5"/>
        <v>13</v>
      </c>
      <c r="F68" t="s">
        <v>3</v>
      </c>
      <c r="G68" t="s">
        <v>56</v>
      </c>
      <c r="H68" s="3">
        <v>33.799999999999997</v>
      </c>
      <c r="I68" t="s">
        <v>14</v>
      </c>
    </row>
    <row r="69" spans="1:9" x14ac:dyDescent="0.3">
      <c r="A69" s="1">
        <v>45360</v>
      </c>
      <c r="B69" s="4">
        <f t="shared" si="3"/>
        <v>2024</v>
      </c>
      <c r="C69" s="4">
        <f t="shared" si="4"/>
        <v>3</v>
      </c>
      <c r="D69" s="2">
        <v>45360.578592685182</v>
      </c>
      <c r="E69" s="4">
        <f t="shared" si="5"/>
        <v>13</v>
      </c>
      <c r="F69" t="s">
        <v>3</v>
      </c>
      <c r="G69" t="s">
        <v>57</v>
      </c>
      <c r="H69" s="3">
        <v>28.9</v>
      </c>
      <c r="I69" t="s">
        <v>28</v>
      </c>
    </row>
    <row r="70" spans="1:9" x14ac:dyDescent="0.3">
      <c r="A70" s="1">
        <v>45360</v>
      </c>
      <c r="B70" s="4">
        <f t="shared" si="3"/>
        <v>2024</v>
      </c>
      <c r="C70" s="4">
        <f t="shared" si="4"/>
        <v>3</v>
      </c>
      <c r="D70" s="2">
        <v>45360.579592916663</v>
      </c>
      <c r="E70" s="4">
        <f t="shared" si="5"/>
        <v>13</v>
      </c>
      <c r="F70" t="s">
        <v>3</v>
      </c>
      <c r="G70" t="s">
        <v>57</v>
      </c>
      <c r="H70" s="3">
        <v>38.700000000000003</v>
      </c>
      <c r="I70" t="s">
        <v>43</v>
      </c>
    </row>
    <row r="71" spans="1:9" x14ac:dyDescent="0.3">
      <c r="A71" s="1">
        <v>45360</v>
      </c>
      <c r="B71" s="4">
        <f t="shared" si="3"/>
        <v>2024</v>
      </c>
      <c r="C71" s="4">
        <f t="shared" si="4"/>
        <v>3</v>
      </c>
      <c r="D71" s="2">
        <v>45360.588910057872</v>
      </c>
      <c r="E71" s="4">
        <f t="shared" si="5"/>
        <v>14</v>
      </c>
      <c r="F71" t="s">
        <v>3</v>
      </c>
      <c r="G71" t="s">
        <v>19</v>
      </c>
      <c r="H71" s="3">
        <v>33.799999999999997</v>
      </c>
      <c r="I71" t="s">
        <v>14</v>
      </c>
    </row>
    <row r="72" spans="1:9" x14ac:dyDescent="0.3">
      <c r="A72" s="1">
        <v>45360</v>
      </c>
      <c r="B72" s="4">
        <f t="shared" si="3"/>
        <v>2024</v>
      </c>
      <c r="C72" s="4">
        <f t="shared" si="4"/>
        <v>3</v>
      </c>
      <c r="D72" s="2">
        <v>45360.602000844905</v>
      </c>
      <c r="E72" s="4">
        <f t="shared" si="5"/>
        <v>14</v>
      </c>
      <c r="F72" t="s">
        <v>3</v>
      </c>
      <c r="G72" t="s">
        <v>58</v>
      </c>
      <c r="H72" s="3">
        <v>38.700000000000003</v>
      </c>
      <c r="I72" t="s">
        <v>9</v>
      </c>
    </row>
    <row r="73" spans="1:9" x14ac:dyDescent="0.3">
      <c r="A73" s="1">
        <v>45360</v>
      </c>
      <c r="B73" s="4">
        <f t="shared" si="3"/>
        <v>2024</v>
      </c>
      <c r="C73" s="4">
        <f t="shared" si="4"/>
        <v>3</v>
      </c>
      <c r="D73" s="2">
        <v>45360.804138564818</v>
      </c>
      <c r="E73" s="4">
        <f t="shared" si="5"/>
        <v>19</v>
      </c>
      <c r="F73" t="s">
        <v>3</v>
      </c>
      <c r="G73" t="s">
        <v>19</v>
      </c>
      <c r="H73" s="3">
        <v>38.700000000000003</v>
      </c>
      <c r="I73" t="s">
        <v>43</v>
      </c>
    </row>
    <row r="74" spans="1:9" x14ac:dyDescent="0.3">
      <c r="A74" s="1">
        <v>45360</v>
      </c>
      <c r="B74" s="4">
        <f t="shared" si="3"/>
        <v>2024</v>
      </c>
      <c r="C74" s="4">
        <f t="shared" si="4"/>
        <v>3</v>
      </c>
      <c r="D74" s="2">
        <v>45360.804977824075</v>
      </c>
      <c r="E74" s="4">
        <f t="shared" si="5"/>
        <v>19</v>
      </c>
      <c r="F74" t="s">
        <v>3</v>
      </c>
      <c r="G74" t="s">
        <v>19</v>
      </c>
      <c r="H74" s="3">
        <v>38.700000000000003</v>
      </c>
      <c r="I74" t="s">
        <v>9</v>
      </c>
    </row>
    <row r="75" spans="1:9" hidden="1" x14ac:dyDescent="0.3">
      <c r="A75" s="1">
        <v>45361</v>
      </c>
      <c r="B75" s="4">
        <f t="shared" si="3"/>
        <v>2024</v>
      </c>
      <c r="C75" s="4">
        <f t="shared" si="4"/>
        <v>3</v>
      </c>
      <c r="D75" s="2">
        <v>45361.322436782408</v>
      </c>
      <c r="E75" s="4">
        <f t="shared" si="5"/>
        <v>7</v>
      </c>
      <c r="F75" t="s">
        <v>21</v>
      </c>
      <c r="H75" s="3">
        <v>30</v>
      </c>
      <c r="I75" t="s">
        <v>11</v>
      </c>
    </row>
    <row r="76" spans="1:9" hidden="1" x14ac:dyDescent="0.3">
      <c r="A76" s="1">
        <v>45361</v>
      </c>
      <c r="B76" s="4">
        <f t="shared" si="3"/>
        <v>2024</v>
      </c>
      <c r="C76" s="4">
        <f t="shared" si="4"/>
        <v>3</v>
      </c>
      <c r="D76" s="2">
        <v>45361.323257418982</v>
      </c>
      <c r="E76" s="4">
        <f t="shared" si="5"/>
        <v>7</v>
      </c>
      <c r="F76" t="s">
        <v>21</v>
      </c>
      <c r="H76" s="3">
        <v>35</v>
      </c>
      <c r="I76" t="s">
        <v>14</v>
      </c>
    </row>
    <row r="77" spans="1:9" hidden="1" x14ac:dyDescent="0.3">
      <c r="A77" s="1">
        <v>45361</v>
      </c>
      <c r="B77" s="4">
        <f t="shared" si="3"/>
        <v>2024</v>
      </c>
      <c r="C77" s="4">
        <f t="shared" si="4"/>
        <v>3</v>
      </c>
      <c r="D77" s="2">
        <v>45361.420867592591</v>
      </c>
      <c r="E77" s="4">
        <f t="shared" si="5"/>
        <v>10</v>
      </c>
      <c r="F77" t="s">
        <v>21</v>
      </c>
      <c r="H77" s="3">
        <v>40</v>
      </c>
      <c r="I77" t="s">
        <v>7</v>
      </c>
    </row>
    <row r="78" spans="1:9" x14ac:dyDescent="0.3">
      <c r="A78" s="1">
        <v>45361</v>
      </c>
      <c r="B78" s="4">
        <f t="shared" si="3"/>
        <v>2024</v>
      </c>
      <c r="C78" s="4">
        <f t="shared" si="4"/>
        <v>3</v>
      </c>
      <c r="D78" s="2">
        <v>45361.471768101852</v>
      </c>
      <c r="E78" s="4">
        <f t="shared" si="5"/>
        <v>11</v>
      </c>
      <c r="F78" t="s">
        <v>3</v>
      </c>
      <c r="G78" t="s">
        <v>59</v>
      </c>
      <c r="H78" s="3">
        <v>24</v>
      </c>
      <c r="I78" t="s">
        <v>35</v>
      </c>
    </row>
    <row r="79" spans="1:9" hidden="1" x14ac:dyDescent="0.3">
      <c r="A79" s="1">
        <v>45361</v>
      </c>
      <c r="B79" s="4">
        <f t="shared" si="3"/>
        <v>2024</v>
      </c>
      <c r="C79" s="4">
        <f t="shared" si="4"/>
        <v>3</v>
      </c>
      <c r="D79" s="2">
        <v>45361.74378527778</v>
      </c>
      <c r="E79" s="4">
        <f t="shared" si="5"/>
        <v>17</v>
      </c>
      <c r="F79" t="s">
        <v>21</v>
      </c>
      <c r="H79" s="3">
        <v>35</v>
      </c>
      <c r="I79" t="s">
        <v>14</v>
      </c>
    </row>
    <row r="80" spans="1:9" x14ac:dyDescent="0.3">
      <c r="A80" s="1">
        <v>45361</v>
      </c>
      <c r="B80" s="4">
        <f t="shared" si="3"/>
        <v>2024</v>
      </c>
      <c r="C80" s="4">
        <f t="shared" si="4"/>
        <v>3</v>
      </c>
      <c r="D80" s="2">
        <v>45361.815283310185</v>
      </c>
      <c r="E80" s="4">
        <f t="shared" si="5"/>
        <v>19</v>
      </c>
      <c r="F80" t="s">
        <v>3</v>
      </c>
      <c r="G80" t="s">
        <v>60</v>
      </c>
      <c r="H80" s="3">
        <v>38.700000000000003</v>
      </c>
      <c r="I80" t="s">
        <v>7</v>
      </c>
    </row>
    <row r="81" spans="1:9" x14ac:dyDescent="0.3">
      <c r="A81" s="1">
        <v>45361</v>
      </c>
      <c r="B81" s="4">
        <f t="shared" si="3"/>
        <v>2024</v>
      </c>
      <c r="C81" s="4">
        <f t="shared" si="4"/>
        <v>3</v>
      </c>
      <c r="D81" s="2">
        <v>45361.816605462962</v>
      </c>
      <c r="E81" s="4">
        <f t="shared" si="5"/>
        <v>19</v>
      </c>
      <c r="F81" t="s">
        <v>3</v>
      </c>
      <c r="G81" t="s">
        <v>60</v>
      </c>
      <c r="H81" s="3">
        <v>28.9</v>
      </c>
      <c r="I81" t="s">
        <v>28</v>
      </c>
    </row>
    <row r="82" spans="1:9" hidden="1" x14ac:dyDescent="0.3">
      <c r="A82" s="1">
        <v>45362</v>
      </c>
      <c r="B82" s="4">
        <f t="shared" si="3"/>
        <v>2024</v>
      </c>
      <c r="C82" s="4">
        <f t="shared" si="4"/>
        <v>3</v>
      </c>
      <c r="D82" s="2">
        <v>45362.429707453703</v>
      </c>
      <c r="E82" s="4">
        <f t="shared" si="5"/>
        <v>10</v>
      </c>
      <c r="F82" t="s">
        <v>21</v>
      </c>
      <c r="H82" s="3">
        <v>40</v>
      </c>
      <c r="I82" t="s">
        <v>7</v>
      </c>
    </row>
    <row r="83" spans="1:9" hidden="1" x14ac:dyDescent="0.3">
      <c r="A83" s="1">
        <v>45362</v>
      </c>
      <c r="B83" s="4">
        <f t="shared" si="3"/>
        <v>2024</v>
      </c>
      <c r="C83" s="4">
        <f t="shared" si="4"/>
        <v>3</v>
      </c>
      <c r="D83" s="2">
        <v>45362.475173865743</v>
      </c>
      <c r="E83" s="4">
        <f t="shared" si="5"/>
        <v>11</v>
      </c>
      <c r="F83" t="s">
        <v>21</v>
      </c>
      <c r="H83" s="3">
        <v>40</v>
      </c>
      <c r="I83" t="s">
        <v>43</v>
      </c>
    </row>
    <row r="84" spans="1:9" hidden="1" x14ac:dyDescent="0.3">
      <c r="A84" s="1">
        <v>45362</v>
      </c>
      <c r="B84" s="4">
        <f t="shared" si="3"/>
        <v>2024</v>
      </c>
      <c r="C84" s="4">
        <f t="shared" si="4"/>
        <v>3</v>
      </c>
      <c r="D84" s="2">
        <v>45362.47559681713</v>
      </c>
      <c r="E84" s="4">
        <f t="shared" si="5"/>
        <v>11</v>
      </c>
      <c r="F84" t="s">
        <v>21</v>
      </c>
      <c r="H84" s="3">
        <v>30</v>
      </c>
      <c r="I84" t="s">
        <v>28</v>
      </c>
    </row>
    <row r="85" spans="1:9" hidden="1" x14ac:dyDescent="0.3">
      <c r="A85" s="1">
        <v>45362</v>
      </c>
      <c r="B85" s="4">
        <f t="shared" si="3"/>
        <v>2024</v>
      </c>
      <c r="C85" s="4">
        <f t="shared" si="4"/>
        <v>3</v>
      </c>
      <c r="D85" s="2">
        <v>45362.476900706017</v>
      </c>
      <c r="E85" s="4">
        <f t="shared" si="5"/>
        <v>11</v>
      </c>
      <c r="F85" t="s">
        <v>21</v>
      </c>
      <c r="H85" s="3">
        <v>30</v>
      </c>
      <c r="I85" t="s">
        <v>11</v>
      </c>
    </row>
    <row r="86" spans="1:9" x14ac:dyDescent="0.3">
      <c r="A86" s="1">
        <v>45362</v>
      </c>
      <c r="B86" s="4">
        <f t="shared" si="3"/>
        <v>2024</v>
      </c>
      <c r="C86" s="4">
        <f t="shared" si="4"/>
        <v>3</v>
      </c>
      <c r="D86" s="2">
        <v>45362.481235891202</v>
      </c>
      <c r="E86" s="4">
        <f t="shared" si="5"/>
        <v>11</v>
      </c>
      <c r="F86" t="s">
        <v>3</v>
      </c>
      <c r="G86" t="s">
        <v>49</v>
      </c>
      <c r="H86" s="3">
        <v>38.700000000000003</v>
      </c>
      <c r="I86" t="s">
        <v>43</v>
      </c>
    </row>
    <row r="87" spans="1:9" x14ac:dyDescent="0.3">
      <c r="A87" s="1">
        <v>45362</v>
      </c>
      <c r="B87" s="4">
        <f t="shared" si="3"/>
        <v>2024</v>
      </c>
      <c r="C87" s="4">
        <f t="shared" si="4"/>
        <v>3</v>
      </c>
      <c r="D87" s="2">
        <v>45362.68363890046</v>
      </c>
      <c r="E87" s="4">
        <f t="shared" si="5"/>
        <v>16</v>
      </c>
      <c r="F87" t="s">
        <v>3</v>
      </c>
      <c r="G87" t="s">
        <v>61</v>
      </c>
      <c r="H87" s="3">
        <v>28.9</v>
      </c>
      <c r="I87" t="s">
        <v>11</v>
      </c>
    </row>
    <row r="88" spans="1:9" x14ac:dyDescent="0.3">
      <c r="A88" s="1">
        <v>45362</v>
      </c>
      <c r="B88" s="4">
        <f t="shared" si="3"/>
        <v>2024</v>
      </c>
      <c r="C88" s="4">
        <f t="shared" si="4"/>
        <v>3</v>
      </c>
      <c r="D88" s="2">
        <v>45362.684556296299</v>
      </c>
      <c r="E88" s="4">
        <f t="shared" si="5"/>
        <v>16</v>
      </c>
      <c r="F88" t="s">
        <v>3</v>
      </c>
      <c r="G88" t="s">
        <v>61</v>
      </c>
      <c r="H88" s="3">
        <v>38.700000000000003</v>
      </c>
      <c r="I88" t="s">
        <v>7</v>
      </c>
    </row>
    <row r="89" spans="1:9" x14ac:dyDescent="0.3">
      <c r="A89" s="1">
        <v>45362</v>
      </c>
      <c r="B89" s="4">
        <f t="shared" si="3"/>
        <v>2024</v>
      </c>
      <c r="C89" s="4">
        <f t="shared" si="4"/>
        <v>3</v>
      </c>
      <c r="D89" s="2">
        <v>45362.701963055559</v>
      </c>
      <c r="E89" s="4">
        <f t="shared" si="5"/>
        <v>16</v>
      </c>
      <c r="F89" t="s">
        <v>3</v>
      </c>
      <c r="G89" t="s">
        <v>62</v>
      </c>
      <c r="H89" s="3">
        <v>28.9</v>
      </c>
      <c r="I89" t="s">
        <v>28</v>
      </c>
    </row>
    <row r="90" spans="1:9" hidden="1" x14ac:dyDescent="0.3">
      <c r="A90" s="1">
        <v>45363</v>
      </c>
      <c r="B90" s="4">
        <f t="shared" si="3"/>
        <v>2024</v>
      </c>
      <c r="C90" s="4">
        <f t="shared" si="4"/>
        <v>3</v>
      </c>
      <c r="D90" s="2">
        <v>45363.427086770833</v>
      </c>
      <c r="E90" s="4">
        <f t="shared" si="5"/>
        <v>10</v>
      </c>
      <c r="F90" t="s">
        <v>21</v>
      </c>
      <c r="H90" s="3">
        <v>40</v>
      </c>
      <c r="I90" t="s">
        <v>7</v>
      </c>
    </row>
    <row r="91" spans="1:9" x14ac:dyDescent="0.3">
      <c r="A91" s="1">
        <v>45363</v>
      </c>
      <c r="B91" s="4">
        <f t="shared" si="3"/>
        <v>2024</v>
      </c>
      <c r="C91" s="4">
        <f t="shared" si="4"/>
        <v>3</v>
      </c>
      <c r="D91" s="2">
        <v>45363.427483136576</v>
      </c>
      <c r="E91" s="4">
        <f t="shared" si="5"/>
        <v>10</v>
      </c>
      <c r="F91" t="s">
        <v>3</v>
      </c>
      <c r="G91" t="s">
        <v>47</v>
      </c>
      <c r="H91" s="3">
        <v>28.9</v>
      </c>
      <c r="I91" t="s">
        <v>11</v>
      </c>
    </row>
    <row r="92" spans="1:9" x14ac:dyDescent="0.3">
      <c r="A92" s="1">
        <v>45363</v>
      </c>
      <c r="B92" s="4">
        <f t="shared" si="3"/>
        <v>2024</v>
      </c>
      <c r="C92" s="4">
        <f t="shared" si="4"/>
        <v>3</v>
      </c>
      <c r="D92" s="2">
        <v>45363.428065810185</v>
      </c>
      <c r="E92" s="4">
        <f t="shared" si="5"/>
        <v>10</v>
      </c>
      <c r="F92" t="s">
        <v>3</v>
      </c>
      <c r="G92" t="s">
        <v>47</v>
      </c>
      <c r="H92" s="3">
        <v>28.9</v>
      </c>
      <c r="I92" t="s">
        <v>28</v>
      </c>
    </row>
    <row r="93" spans="1:9" x14ac:dyDescent="0.3">
      <c r="A93" s="1">
        <v>45363</v>
      </c>
      <c r="B93" s="4">
        <f t="shared" si="3"/>
        <v>2024</v>
      </c>
      <c r="C93" s="4">
        <f t="shared" si="4"/>
        <v>3</v>
      </c>
      <c r="D93" s="2">
        <v>45363.472750370369</v>
      </c>
      <c r="E93" s="4">
        <f t="shared" si="5"/>
        <v>11</v>
      </c>
      <c r="F93" t="s">
        <v>3</v>
      </c>
      <c r="G93" t="s">
        <v>63</v>
      </c>
      <c r="H93" s="3">
        <v>38.700000000000003</v>
      </c>
      <c r="I93" t="s">
        <v>9</v>
      </c>
    </row>
    <row r="94" spans="1:9" x14ac:dyDescent="0.3">
      <c r="A94" s="1">
        <v>45363</v>
      </c>
      <c r="B94" s="4">
        <f t="shared" si="3"/>
        <v>2024</v>
      </c>
      <c r="C94" s="4">
        <f t="shared" si="4"/>
        <v>3</v>
      </c>
      <c r="D94" s="2">
        <v>45363.532213831022</v>
      </c>
      <c r="E94" s="4">
        <f t="shared" si="5"/>
        <v>12</v>
      </c>
      <c r="F94" t="s">
        <v>3</v>
      </c>
      <c r="G94" t="s">
        <v>12</v>
      </c>
      <c r="H94" s="3">
        <v>33.799999999999997</v>
      </c>
      <c r="I94" t="s">
        <v>14</v>
      </c>
    </row>
    <row r="95" spans="1:9" x14ac:dyDescent="0.3">
      <c r="A95" s="1">
        <v>45363</v>
      </c>
      <c r="B95" s="4">
        <f t="shared" si="3"/>
        <v>2024</v>
      </c>
      <c r="C95" s="4">
        <f t="shared" si="4"/>
        <v>3</v>
      </c>
      <c r="D95" s="2">
        <v>45363.532940127312</v>
      </c>
      <c r="E95" s="4">
        <f t="shared" si="5"/>
        <v>12</v>
      </c>
      <c r="F95" t="s">
        <v>3</v>
      </c>
      <c r="G95" t="s">
        <v>12</v>
      </c>
      <c r="H95" s="3">
        <v>28.9</v>
      </c>
      <c r="I95" t="s">
        <v>11</v>
      </c>
    </row>
    <row r="96" spans="1:9" x14ac:dyDescent="0.3">
      <c r="A96" s="1">
        <v>45363</v>
      </c>
      <c r="B96" s="4">
        <f t="shared" si="3"/>
        <v>2024</v>
      </c>
      <c r="C96" s="4">
        <f t="shared" si="4"/>
        <v>3</v>
      </c>
      <c r="D96" s="2">
        <v>45363.677584780089</v>
      </c>
      <c r="E96" s="4">
        <f t="shared" si="5"/>
        <v>16</v>
      </c>
      <c r="F96" t="s">
        <v>3</v>
      </c>
      <c r="G96" t="s">
        <v>64</v>
      </c>
      <c r="H96" s="3">
        <v>28.9</v>
      </c>
      <c r="I96" t="s">
        <v>11</v>
      </c>
    </row>
    <row r="97" spans="1:9" x14ac:dyDescent="0.3">
      <c r="A97" s="1">
        <v>45364</v>
      </c>
      <c r="B97" s="4">
        <f t="shared" si="3"/>
        <v>2024</v>
      </c>
      <c r="C97" s="4">
        <f t="shared" si="4"/>
        <v>3</v>
      </c>
      <c r="D97" s="2">
        <v>45364.462998124996</v>
      </c>
      <c r="E97" s="4">
        <f t="shared" si="5"/>
        <v>11</v>
      </c>
      <c r="F97" t="s">
        <v>3</v>
      </c>
      <c r="G97" t="s">
        <v>62</v>
      </c>
      <c r="H97" s="3">
        <v>38.700000000000003</v>
      </c>
      <c r="I97" t="s">
        <v>9</v>
      </c>
    </row>
    <row r="98" spans="1:9" x14ac:dyDescent="0.3">
      <c r="A98" s="1">
        <v>45364</v>
      </c>
      <c r="B98" s="4">
        <f t="shared" si="3"/>
        <v>2024</v>
      </c>
      <c r="C98" s="4">
        <f t="shared" si="4"/>
        <v>3</v>
      </c>
      <c r="D98" s="2">
        <v>45364.491860567126</v>
      </c>
      <c r="E98" s="4">
        <f t="shared" si="5"/>
        <v>11</v>
      </c>
      <c r="F98" t="s">
        <v>3</v>
      </c>
      <c r="G98" t="s">
        <v>12</v>
      </c>
      <c r="H98" s="3">
        <v>28.9</v>
      </c>
      <c r="I98" t="s">
        <v>11</v>
      </c>
    </row>
    <row r="99" spans="1:9" x14ac:dyDescent="0.3">
      <c r="A99" s="1">
        <v>45364</v>
      </c>
      <c r="B99" s="4">
        <f t="shared" si="3"/>
        <v>2024</v>
      </c>
      <c r="C99" s="4">
        <f t="shared" si="4"/>
        <v>3</v>
      </c>
      <c r="D99" s="2">
        <v>45364.512573333333</v>
      </c>
      <c r="E99" s="4">
        <f t="shared" si="5"/>
        <v>12</v>
      </c>
      <c r="F99" t="s">
        <v>3</v>
      </c>
      <c r="G99" t="s">
        <v>65</v>
      </c>
      <c r="H99" s="3">
        <v>28.9</v>
      </c>
      <c r="I99" t="s">
        <v>11</v>
      </c>
    </row>
    <row r="100" spans="1:9" x14ac:dyDescent="0.3">
      <c r="A100" s="1">
        <v>45364</v>
      </c>
      <c r="B100" s="4">
        <f t="shared" si="3"/>
        <v>2024</v>
      </c>
      <c r="C100" s="4">
        <f t="shared" si="4"/>
        <v>3</v>
      </c>
      <c r="D100" s="2">
        <v>45364.513253796293</v>
      </c>
      <c r="E100" s="4">
        <f t="shared" si="5"/>
        <v>12</v>
      </c>
      <c r="F100" t="s">
        <v>3</v>
      </c>
      <c r="G100" t="s">
        <v>65</v>
      </c>
      <c r="H100" s="3">
        <v>28.9</v>
      </c>
      <c r="I100" t="s">
        <v>11</v>
      </c>
    </row>
    <row r="101" spans="1:9" hidden="1" x14ac:dyDescent="0.3">
      <c r="A101" s="1">
        <v>45364</v>
      </c>
      <c r="B101" s="4">
        <f t="shared" si="3"/>
        <v>2024</v>
      </c>
      <c r="C101" s="4">
        <f t="shared" si="4"/>
        <v>3</v>
      </c>
      <c r="D101" s="2">
        <v>45364.523961979168</v>
      </c>
      <c r="E101" s="4">
        <f t="shared" si="5"/>
        <v>12</v>
      </c>
      <c r="F101" t="s">
        <v>21</v>
      </c>
      <c r="H101" s="3">
        <v>25</v>
      </c>
      <c r="I101" t="s">
        <v>35</v>
      </c>
    </row>
    <row r="102" spans="1:9" x14ac:dyDescent="0.3">
      <c r="A102" s="1">
        <v>45364</v>
      </c>
      <c r="B102" s="4">
        <f t="shared" si="3"/>
        <v>2024</v>
      </c>
      <c r="C102" s="4">
        <f t="shared" si="4"/>
        <v>3</v>
      </c>
      <c r="D102" s="2">
        <v>45364.601861979165</v>
      </c>
      <c r="E102" s="4">
        <f t="shared" si="5"/>
        <v>14</v>
      </c>
      <c r="F102" t="s">
        <v>3</v>
      </c>
      <c r="G102" t="s">
        <v>66</v>
      </c>
      <c r="H102" s="3">
        <v>33.799999999999997</v>
      </c>
      <c r="I102" t="s">
        <v>14</v>
      </c>
    </row>
    <row r="103" spans="1:9" x14ac:dyDescent="0.3">
      <c r="A103" s="1">
        <v>45364</v>
      </c>
      <c r="B103" s="4">
        <f t="shared" si="3"/>
        <v>2024</v>
      </c>
      <c r="C103" s="4">
        <f t="shared" si="4"/>
        <v>3</v>
      </c>
      <c r="D103" s="2">
        <v>45364.653035428244</v>
      </c>
      <c r="E103" s="4">
        <f t="shared" si="5"/>
        <v>15</v>
      </c>
      <c r="F103" t="s">
        <v>3</v>
      </c>
      <c r="G103" t="s">
        <v>67</v>
      </c>
      <c r="H103" s="3">
        <v>24</v>
      </c>
      <c r="I103" t="s">
        <v>35</v>
      </c>
    </row>
    <row r="104" spans="1:9" x14ac:dyDescent="0.3">
      <c r="A104" s="1">
        <v>45364</v>
      </c>
      <c r="B104" s="4">
        <f t="shared" si="3"/>
        <v>2024</v>
      </c>
      <c r="C104" s="4">
        <f t="shared" si="4"/>
        <v>3</v>
      </c>
      <c r="D104" s="2">
        <v>45364.653708611113</v>
      </c>
      <c r="E104" s="4">
        <f t="shared" si="5"/>
        <v>15</v>
      </c>
      <c r="F104" t="s">
        <v>3</v>
      </c>
      <c r="G104" t="s">
        <v>67</v>
      </c>
      <c r="H104" s="3">
        <v>24</v>
      </c>
      <c r="I104" t="s">
        <v>35</v>
      </c>
    </row>
    <row r="105" spans="1:9" x14ac:dyDescent="0.3">
      <c r="A105" s="1">
        <v>45364</v>
      </c>
      <c r="B105" s="4">
        <f t="shared" si="3"/>
        <v>2024</v>
      </c>
      <c r="C105" s="4">
        <f t="shared" si="4"/>
        <v>3</v>
      </c>
      <c r="D105" s="2">
        <v>45364.699414039351</v>
      </c>
      <c r="E105" s="4">
        <f t="shared" si="5"/>
        <v>16</v>
      </c>
      <c r="F105" t="s">
        <v>3</v>
      </c>
      <c r="G105" t="s">
        <v>68</v>
      </c>
      <c r="H105" s="3">
        <v>24</v>
      </c>
      <c r="I105" t="s">
        <v>35</v>
      </c>
    </row>
    <row r="106" spans="1:9" hidden="1" x14ac:dyDescent="0.3">
      <c r="A106" s="1">
        <v>45365</v>
      </c>
      <c r="B106" s="4">
        <f t="shared" si="3"/>
        <v>2024</v>
      </c>
      <c r="C106" s="4">
        <f t="shared" si="4"/>
        <v>3</v>
      </c>
      <c r="D106" s="2">
        <v>45365.418197233797</v>
      </c>
      <c r="E106" s="4">
        <f t="shared" si="5"/>
        <v>10</v>
      </c>
      <c r="F106" t="s">
        <v>21</v>
      </c>
      <c r="H106" s="3">
        <v>40</v>
      </c>
      <c r="I106" t="s">
        <v>7</v>
      </c>
    </row>
    <row r="107" spans="1:9" x14ac:dyDescent="0.3">
      <c r="A107" s="1">
        <v>45365</v>
      </c>
      <c r="B107" s="4">
        <f t="shared" si="3"/>
        <v>2024</v>
      </c>
      <c r="C107" s="4">
        <f t="shared" si="4"/>
        <v>3</v>
      </c>
      <c r="D107" s="2">
        <v>45365.436493252317</v>
      </c>
      <c r="E107" s="4">
        <f t="shared" si="5"/>
        <v>10</v>
      </c>
      <c r="F107" t="s">
        <v>3</v>
      </c>
      <c r="G107" t="s">
        <v>69</v>
      </c>
      <c r="H107" s="3">
        <v>38.700000000000003</v>
      </c>
      <c r="I107" t="s">
        <v>7</v>
      </c>
    </row>
    <row r="108" spans="1:9" x14ac:dyDescent="0.3">
      <c r="A108" s="1">
        <v>45365</v>
      </c>
      <c r="B108" s="4">
        <f t="shared" si="3"/>
        <v>2024</v>
      </c>
      <c r="C108" s="4">
        <f t="shared" si="4"/>
        <v>3</v>
      </c>
      <c r="D108" s="2">
        <v>45365.437202349538</v>
      </c>
      <c r="E108" s="4">
        <f t="shared" si="5"/>
        <v>10</v>
      </c>
      <c r="F108" t="s">
        <v>3</v>
      </c>
      <c r="G108" t="s">
        <v>69</v>
      </c>
      <c r="H108" s="3">
        <v>38.700000000000003</v>
      </c>
      <c r="I108" t="s">
        <v>9</v>
      </c>
    </row>
    <row r="109" spans="1:9" x14ac:dyDescent="0.3">
      <c r="A109" s="1">
        <v>45365</v>
      </c>
      <c r="B109" s="4">
        <f t="shared" si="3"/>
        <v>2024</v>
      </c>
      <c r="C109" s="4">
        <f t="shared" si="4"/>
        <v>3</v>
      </c>
      <c r="D109" s="2">
        <v>45365.560758518521</v>
      </c>
      <c r="E109" s="4">
        <f t="shared" si="5"/>
        <v>13</v>
      </c>
      <c r="F109" t="s">
        <v>3</v>
      </c>
      <c r="G109" t="s">
        <v>23</v>
      </c>
      <c r="H109" s="3">
        <v>28.9</v>
      </c>
      <c r="I109" t="s">
        <v>28</v>
      </c>
    </row>
    <row r="110" spans="1:9" x14ac:dyDescent="0.3">
      <c r="A110" s="1">
        <v>45365</v>
      </c>
      <c r="B110" s="4">
        <f t="shared" si="3"/>
        <v>2024</v>
      </c>
      <c r="C110" s="4">
        <f t="shared" si="4"/>
        <v>3</v>
      </c>
      <c r="D110" s="2">
        <v>45365.561394988428</v>
      </c>
      <c r="E110" s="4">
        <f t="shared" si="5"/>
        <v>13</v>
      </c>
      <c r="F110" t="s">
        <v>3</v>
      </c>
      <c r="G110" t="s">
        <v>23</v>
      </c>
      <c r="H110" s="3">
        <v>28.9</v>
      </c>
      <c r="I110" t="s">
        <v>11</v>
      </c>
    </row>
    <row r="111" spans="1:9" x14ac:dyDescent="0.3">
      <c r="A111" s="1">
        <v>45365</v>
      </c>
      <c r="B111" s="4">
        <f t="shared" si="3"/>
        <v>2024</v>
      </c>
      <c r="C111" s="4">
        <f t="shared" si="4"/>
        <v>3</v>
      </c>
      <c r="D111" s="2">
        <v>45365.577776678241</v>
      </c>
      <c r="E111" s="4">
        <f t="shared" si="5"/>
        <v>13</v>
      </c>
      <c r="F111" t="s">
        <v>3</v>
      </c>
      <c r="G111" t="s">
        <v>70</v>
      </c>
      <c r="H111" s="3">
        <v>33.799999999999997</v>
      </c>
      <c r="I111" t="s">
        <v>14</v>
      </c>
    </row>
    <row r="112" spans="1:9" x14ac:dyDescent="0.3">
      <c r="A112" s="1">
        <v>45365</v>
      </c>
      <c r="B112" s="4">
        <f t="shared" si="3"/>
        <v>2024</v>
      </c>
      <c r="C112" s="4">
        <f t="shared" si="4"/>
        <v>3</v>
      </c>
      <c r="D112" s="2">
        <v>45365.578428796296</v>
      </c>
      <c r="E112" s="4">
        <f t="shared" si="5"/>
        <v>13</v>
      </c>
      <c r="F112" t="s">
        <v>3</v>
      </c>
      <c r="G112" t="s">
        <v>71</v>
      </c>
      <c r="H112" s="3">
        <v>24</v>
      </c>
      <c r="I112" t="s">
        <v>35</v>
      </c>
    </row>
    <row r="113" spans="1:9" x14ac:dyDescent="0.3">
      <c r="A113" s="1">
        <v>45365</v>
      </c>
      <c r="B113" s="4">
        <f t="shared" si="3"/>
        <v>2024</v>
      </c>
      <c r="C113" s="4">
        <f t="shared" si="4"/>
        <v>3</v>
      </c>
      <c r="D113" s="2">
        <v>45365.639332951388</v>
      </c>
      <c r="E113" s="4">
        <f t="shared" si="5"/>
        <v>15</v>
      </c>
      <c r="F113" t="s">
        <v>3</v>
      </c>
      <c r="G113" t="s">
        <v>72</v>
      </c>
      <c r="H113" s="3">
        <v>38.700000000000003</v>
      </c>
      <c r="I113" t="s">
        <v>7</v>
      </c>
    </row>
    <row r="114" spans="1:9" x14ac:dyDescent="0.3">
      <c r="A114" s="1">
        <v>45365</v>
      </c>
      <c r="B114" s="4">
        <f t="shared" si="3"/>
        <v>2024</v>
      </c>
      <c r="C114" s="4">
        <f t="shared" si="4"/>
        <v>3</v>
      </c>
      <c r="D114" s="2">
        <v>45365.669554467589</v>
      </c>
      <c r="E114" s="4">
        <f t="shared" si="5"/>
        <v>16</v>
      </c>
      <c r="F114" t="s">
        <v>3</v>
      </c>
      <c r="G114" t="s">
        <v>73</v>
      </c>
      <c r="H114" s="3">
        <v>33.799999999999997</v>
      </c>
      <c r="I114" t="s">
        <v>14</v>
      </c>
    </row>
    <row r="115" spans="1:9" x14ac:dyDescent="0.3">
      <c r="A115" s="1">
        <v>45365</v>
      </c>
      <c r="B115" s="4">
        <f t="shared" si="3"/>
        <v>2024</v>
      </c>
      <c r="C115" s="4">
        <f t="shared" si="4"/>
        <v>3</v>
      </c>
      <c r="D115" s="2">
        <v>45365.704608819447</v>
      </c>
      <c r="E115" s="4">
        <f t="shared" si="5"/>
        <v>16</v>
      </c>
      <c r="F115" t="s">
        <v>3</v>
      </c>
      <c r="G115" t="s">
        <v>64</v>
      </c>
      <c r="H115" s="3">
        <v>24</v>
      </c>
      <c r="I115" t="s">
        <v>35</v>
      </c>
    </row>
    <row r="116" spans="1:9" x14ac:dyDescent="0.3">
      <c r="A116" s="1">
        <v>45365</v>
      </c>
      <c r="B116" s="4">
        <f t="shared" si="3"/>
        <v>2024</v>
      </c>
      <c r="C116" s="4">
        <f t="shared" si="4"/>
        <v>3</v>
      </c>
      <c r="D116" s="2">
        <v>45365.790924236113</v>
      </c>
      <c r="E116" s="4">
        <f t="shared" si="5"/>
        <v>18</v>
      </c>
      <c r="F116" t="s">
        <v>3</v>
      </c>
      <c r="G116" t="s">
        <v>31</v>
      </c>
      <c r="H116" s="3">
        <v>38.700000000000003</v>
      </c>
      <c r="I116" t="s">
        <v>9</v>
      </c>
    </row>
    <row r="117" spans="1:9" x14ac:dyDescent="0.3">
      <c r="A117" s="1">
        <v>45365</v>
      </c>
      <c r="B117" s="4">
        <f t="shared" si="3"/>
        <v>2024</v>
      </c>
      <c r="C117" s="4">
        <f t="shared" si="4"/>
        <v>3</v>
      </c>
      <c r="D117" s="2">
        <v>45365.791766932867</v>
      </c>
      <c r="E117" s="4">
        <f t="shared" si="5"/>
        <v>19</v>
      </c>
      <c r="F117" t="s">
        <v>3</v>
      </c>
      <c r="G117" t="s">
        <v>23</v>
      </c>
      <c r="H117" s="3">
        <v>28.9</v>
      </c>
      <c r="I117" t="s">
        <v>28</v>
      </c>
    </row>
    <row r="118" spans="1:9" hidden="1" x14ac:dyDescent="0.3">
      <c r="A118" s="1">
        <v>45366</v>
      </c>
      <c r="B118" s="4">
        <f t="shared" si="3"/>
        <v>2024</v>
      </c>
      <c r="C118" s="4">
        <f t="shared" si="4"/>
        <v>3</v>
      </c>
      <c r="D118" s="2">
        <v>45366.418246909721</v>
      </c>
      <c r="E118" s="4">
        <f t="shared" si="5"/>
        <v>10</v>
      </c>
      <c r="F118" t="s">
        <v>21</v>
      </c>
      <c r="H118" s="3">
        <v>40</v>
      </c>
      <c r="I118" t="s">
        <v>7</v>
      </c>
    </row>
    <row r="119" spans="1:9" x14ac:dyDescent="0.3">
      <c r="A119" s="1">
        <v>45366</v>
      </c>
      <c r="B119" s="4">
        <f t="shared" si="3"/>
        <v>2024</v>
      </c>
      <c r="C119" s="4">
        <f t="shared" si="4"/>
        <v>3</v>
      </c>
      <c r="D119" s="2">
        <v>45366.453497453702</v>
      </c>
      <c r="E119" s="4">
        <f t="shared" si="5"/>
        <v>10</v>
      </c>
      <c r="F119" t="s">
        <v>3</v>
      </c>
      <c r="G119" t="s">
        <v>74</v>
      </c>
      <c r="H119" s="3">
        <v>38.700000000000003</v>
      </c>
      <c r="I119" t="s">
        <v>9</v>
      </c>
    </row>
    <row r="120" spans="1:9" x14ac:dyDescent="0.3">
      <c r="A120" s="1">
        <v>45366</v>
      </c>
      <c r="B120" s="4">
        <f t="shared" si="3"/>
        <v>2024</v>
      </c>
      <c r="C120" s="4">
        <f t="shared" si="4"/>
        <v>3</v>
      </c>
      <c r="D120" s="2">
        <v>45366.763517615742</v>
      </c>
      <c r="E120" s="4">
        <f t="shared" si="5"/>
        <v>18</v>
      </c>
      <c r="F120" t="s">
        <v>3</v>
      </c>
      <c r="G120" t="s">
        <v>23</v>
      </c>
      <c r="H120" s="3">
        <v>28.9</v>
      </c>
      <c r="I120" t="s">
        <v>11</v>
      </c>
    </row>
    <row r="121" spans="1:9" x14ac:dyDescent="0.3">
      <c r="A121" s="1">
        <v>45367</v>
      </c>
      <c r="B121" s="4">
        <f t="shared" si="3"/>
        <v>2024</v>
      </c>
      <c r="C121" s="4">
        <f t="shared" si="4"/>
        <v>3</v>
      </c>
      <c r="D121" s="2">
        <v>45367.504805659722</v>
      </c>
      <c r="E121" s="4">
        <f t="shared" si="5"/>
        <v>12</v>
      </c>
      <c r="F121" t="s">
        <v>3</v>
      </c>
      <c r="G121" t="s">
        <v>75</v>
      </c>
      <c r="H121" s="3">
        <v>33.799999999999997</v>
      </c>
      <c r="I121" t="s">
        <v>14</v>
      </c>
    </row>
    <row r="122" spans="1:9" x14ac:dyDescent="0.3">
      <c r="A122" s="1">
        <v>45367</v>
      </c>
      <c r="B122" s="4">
        <f t="shared" si="3"/>
        <v>2024</v>
      </c>
      <c r="C122" s="4">
        <f t="shared" si="4"/>
        <v>3</v>
      </c>
      <c r="D122" s="2">
        <v>45367.505485127316</v>
      </c>
      <c r="E122" s="4">
        <f t="shared" si="5"/>
        <v>12</v>
      </c>
      <c r="F122" t="s">
        <v>3</v>
      </c>
      <c r="G122" t="s">
        <v>75</v>
      </c>
      <c r="H122" s="3">
        <v>28.9</v>
      </c>
      <c r="I122" t="s">
        <v>11</v>
      </c>
    </row>
    <row r="123" spans="1:9" x14ac:dyDescent="0.3">
      <c r="A123" s="1">
        <v>45367</v>
      </c>
      <c r="B123" s="4">
        <f t="shared" si="3"/>
        <v>2024</v>
      </c>
      <c r="C123" s="4">
        <f t="shared" si="4"/>
        <v>3</v>
      </c>
      <c r="D123" s="2">
        <v>45367.665491412037</v>
      </c>
      <c r="E123" s="4">
        <f t="shared" si="5"/>
        <v>15</v>
      </c>
      <c r="F123" t="s">
        <v>3</v>
      </c>
      <c r="G123" t="s">
        <v>19</v>
      </c>
      <c r="H123" s="3">
        <v>28.9</v>
      </c>
      <c r="I123" t="s">
        <v>28</v>
      </c>
    </row>
    <row r="124" spans="1:9" x14ac:dyDescent="0.3">
      <c r="A124" s="1">
        <v>45367</v>
      </c>
      <c r="B124" s="4">
        <f t="shared" si="3"/>
        <v>2024</v>
      </c>
      <c r="C124" s="4">
        <f t="shared" si="4"/>
        <v>3</v>
      </c>
      <c r="D124" s="2">
        <v>45367.66900159722</v>
      </c>
      <c r="E124" s="4">
        <f t="shared" si="5"/>
        <v>16</v>
      </c>
      <c r="F124" t="s">
        <v>3</v>
      </c>
      <c r="G124" t="s">
        <v>19</v>
      </c>
      <c r="H124" s="3">
        <v>28.9</v>
      </c>
      <c r="I124" t="s">
        <v>28</v>
      </c>
    </row>
    <row r="125" spans="1:9" x14ac:dyDescent="0.3">
      <c r="A125" s="1">
        <v>45367</v>
      </c>
      <c r="B125" s="4">
        <f t="shared" si="3"/>
        <v>2024</v>
      </c>
      <c r="C125" s="4">
        <f t="shared" si="4"/>
        <v>3</v>
      </c>
      <c r="D125" s="2">
        <v>45367.669576898152</v>
      </c>
      <c r="E125" s="4">
        <f t="shared" si="5"/>
        <v>16</v>
      </c>
      <c r="F125" t="s">
        <v>3</v>
      </c>
      <c r="G125" t="s">
        <v>23</v>
      </c>
      <c r="H125" s="3">
        <v>28.9</v>
      </c>
      <c r="I125" t="s">
        <v>28</v>
      </c>
    </row>
    <row r="126" spans="1:9" x14ac:dyDescent="0.3">
      <c r="A126" s="1">
        <v>45367</v>
      </c>
      <c r="B126" s="4">
        <f t="shared" si="3"/>
        <v>2024</v>
      </c>
      <c r="C126" s="4">
        <f t="shared" si="4"/>
        <v>3</v>
      </c>
      <c r="D126" s="2">
        <v>45367.748694918984</v>
      </c>
      <c r="E126" s="4">
        <f t="shared" si="5"/>
        <v>17</v>
      </c>
      <c r="F126" t="s">
        <v>3</v>
      </c>
      <c r="G126" t="s">
        <v>76</v>
      </c>
      <c r="H126" s="3">
        <v>33.799999999999997</v>
      </c>
      <c r="I126" t="s">
        <v>14</v>
      </c>
    </row>
    <row r="127" spans="1:9" hidden="1" x14ac:dyDescent="0.3">
      <c r="A127" s="1">
        <v>45368</v>
      </c>
      <c r="B127" s="4">
        <f t="shared" si="3"/>
        <v>2024</v>
      </c>
      <c r="C127" s="4">
        <f t="shared" si="4"/>
        <v>3</v>
      </c>
      <c r="D127" s="2">
        <v>45368.423858784721</v>
      </c>
      <c r="E127" s="4">
        <f t="shared" si="5"/>
        <v>10</v>
      </c>
      <c r="F127" t="s">
        <v>21</v>
      </c>
      <c r="H127" s="3">
        <v>40</v>
      </c>
      <c r="I127" t="s">
        <v>7</v>
      </c>
    </row>
    <row r="128" spans="1:9" x14ac:dyDescent="0.3">
      <c r="A128" s="1">
        <v>45368</v>
      </c>
      <c r="B128" s="4">
        <f t="shared" si="3"/>
        <v>2024</v>
      </c>
      <c r="C128" s="4">
        <f t="shared" si="4"/>
        <v>3</v>
      </c>
      <c r="D128" s="2">
        <v>45368.538496122688</v>
      </c>
      <c r="E128" s="4">
        <f t="shared" si="5"/>
        <v>12</v>
      </c>
      <c r="F128" t="s">
        <v>3</v>
      </c>
      <c r="G128" t="s">
        <v>77</v>
      </c>
      <c r="H128" s="3">
        <v>28.9</v>
      </c>
      <c r="I128" t="s">
        <v>28</v>
      </c>
    </row>
    <row r="129" spans="1:9" x14ac:dyDescent="0.3">
      <c r="A129" s="1">
        <v>45369</v>
      </c>
      <c r="B129" s="4">
        <f t="shared" ref="B129:B192" si="6">YEAR(A129)</f>
        <v>2024</v>
      </c>
      <c r="C129" s="4">
        <f t="shared" ref="C129:C192" si="7">MONTH(A129)</f>
        <v>3</v>
      </c>
      <c r="D129" s="2">
        <v>45369.47082952546</v>
      </c>
      <c r="E129" s="4">
        <f t="shared" ref="E129:E192" si="8">HOUR(D129)</f>
        <v>11</v>
      </c>
      <c r="F129" t="s">
        <v>3</v>
      </c>
      <c r="G129" t="s">
        <v>78</v>
      </c>
      <c r="H129" s="3">
        <v>28.9</v>
      </c>
      <c r="I129" t="s">
        <v>28</v>
      </c>
    </row>
    <row r="130" spans="1:9" x14ac:dyDescent="0.3">
      <c r="A130" s="1">
        <v>45369</v>
      </c>
      <c r="B130" s="4">
        <f t="shared" si="6"/>
        <v>2024</v>
      </c>
      <c r="C130" s="4">
        <f t="shared" si="7"/>
        <v>3</v>
      </c>
      <c r="D130" s="2">
        <v>45369.64698755787</v>
      </c>
      <c r="E130" s="4">
        <f t="shared" si="8"/>
        <v>15</v>
      </c>
      <c r="F130" t="s">
        <v>3</v>
      </c>
      <c r="G130" t="s">
        <v>10</v>
      </c>
      <c r="H130" s="3">
        <v>28.9</v>
      </c>
      <c r="I130" t="s">
        <v>11</v>
      </c>
    </row>
    <row r="131" spans="1:9" x14ac:dyDescent="0.3">
      <c r="A131" s="1">
        <v>45369</v>
      </c>
      <c r="B131" s="4">
        <f t="shared" si="6"/>
        <v>2024</v>
      </c>
      <c r="C131" s="4">
        <f t="shared" si="7"/>
        <v>3</v>
      </c>
      <c r="D131" s="2">
        <v>45369.64766480324</v>
      </c>
      <c r="E131" s="4">
        <f t="shared" si="8"/>
        <v>15</v>
      </c>
      <c r="F131" t="s">
        <v>3</v>
      </c>
      <c r="G131" t="s">
        <v>10</v>
      </c>
      <c r="H131" s="3">
        <v>28.9</v>
      </c>
      <c r="I131" t="s">
        <v>11</v>
      </c>
    </row>
    <row r="132" spans="1:9" x14ac:dyDescent="0.3">
      <c r="A132" s="1">
        <v>45369</v>
      </c>
      <c r="B132" s="4">
        <f t="shared" si="6"/>
        <v>2024</v>
      </c>
      <c r="C132" s="4">
        <f t="shared" si="7"/>
        <v>3</v>
      </c>
      <c r="D132" s="2">
        <v>45369.648341527776</v>
      </c>
      <c r="E132" s="4">
        <f t="shared" si="8"/>
        <v>15</v>
      </c>
      <c r="F132" t="s">
        <v>3</v>
      </c>
      <c r="G132" t="s">
        <v>10</v>
      </c>
      <c r="H132" s="3">
        <v>28.9</v>
      </c>
      <c r="I132" t="s">
        <v>11</v>
      </c>
    </row>
    <row r="133" spans="1:9" hidden="1" x14ac:dyDescent="0.3">
      <c r="A133" s="1">
        <v>45370</v>
      </c>
      <c r="B133" s="4">
        <f t="shared" si="6"/>
        <v>2024</v>
      </c>
      <c r="C133" s="4">
        <f t="shared" si="7"/>
        <v>3</v>
      </c>
      <c r="D133" s="2">
        <v>45370.430856435189</v>
      </c>
      <c r="E133" s="4">
        <f t="shared" si="8"/>
        <v>10</v>
      </c>
      <c r="F133" t="s">
        <v>21</v>
      </c>
      <c r="H133" s="3">
        <v>30</v>
      </c>
      <c r="I133" t="s">
        <v>28</v>
      </c>
    </row>
    <row r="134" spans="1:9" x14ac:dyDescent="0.3">
      <c r="A134" s="1">
        <v>45370</v>
      </c>
      <c r="B134" s="4">
        <f t="shared" si="6"/>
        <v>2024</v>
      </c>
      <c r="C134" s="4">
        <f t="shared" si="7"/>
        <v>3</v>
      </c>
      <c r="D134" s="2">
        <v>45370.584971481483</v>
      </c>
      <c r="E134" s="4">
        <f t="shared" si="8"/>
        <v>14</v>
      </c>
      <c r="F134" t="s">
        <v>3</v>
      </c>
      <c r="G134" t="s">
        <v>79</v>
      </c>
      <c r="H134" s="3">
        <v>38.700000000000003</v>
      </c>
      <c r="I134" t="s">
        <v>7</v>
      </c>
    </row>
    <row r="135" spans="1:9" x14ac:dyDescent="0.3">
      <c r="A135" s="1">
        <v>45370</v>
      </c>
      <c r="B135" s="4">
        <f t="shared" si="6"/>
        <v>2024</v>
      </c>
      <c r="C135" s="4">
        <f t="shared" si="7"/>
        <v>3</v>
      </c>
      <c r="D135" s="2">
        <v>45370.58564542824</v>
      </c>
      <c r="E135" s="4">
        <f t="shared" si="8"/>
        <v>14</v>
      </c>
      <c r="F135" t="s">
        <v>3</v>
      </c>
      <c r="G135" t="s">
        <v>79</v>
      </c>
      <c r="H135" s="3">
        <v>38.700000000000003</v>
      </c>
      <c r="I135" t="s">
        <v>7</v>
      </c>
    </row>
    <row r="136" spans="1:9" x14ac:dyDescent="0.3">
      <c r="A136" s="1">
        <v>45370</v>
      </c>
      <c r="B136" s="4">
        <f t="shared" si="6"/>
        <v>2024</v>
      </c>
      <c r="C136" s="4">
        <f t="shared" si="7"/>
        <v>3</v>
      </c>
      <c r="D136" s="2">
        <v>45370.628198020837</v>
      </c>
      <c r="E136" s="4">
        <f t="shared" si="8"/>
        <v>15</v>
      </c>
      <c r="F136" t="s">
        <v>3</v>
      </c>
      <c r="G136" t="s">
        <v>63</v>
      </c>
      <c r="H136" s="3">
        <v>38.700000000000003</v>
      </c>
      <c r="I136" t="s">
        <v>9</v>
      </c>
    </row>
    <row r="137" spans="1:9" x14ac:dyDescent="0.3">
      <c r="A137" s="1">
        <v>45370</v>
      </c>
      <c r="B137" s="4">
        <f t="shared" si="6"/>
        <v>2024</v>
      </c>
      <c r="C137" s="4">
        <f t="shared" si="7"/>
        <v>3</v>
      </c>
      <c r="D137" s="2">
        <v>45370.704035949071</v>
      </c>
      <c r="E137" s="4">
        <f t="shared" si="8"/>
        <v>16</v>
      </c>
      <c r="F137" t="s">
        <v>3</v>
      </c>
      <c r="G137" t="s">
        <v>80</v>
      </c>
      <c r="H137" s="3">
        <v>33.799999999999997</v>
      </c>
      <c r="I137" t="s">
        <v>14</v>
      </c>
    </row>
    <row r="138" spans="1:9" hidden="1" x14ac:dyDescent="0.3">
      <c r="A138" s="1">
        <v>45370</v>
      </c>
      <c r="B138" s="4">
        <f t="shared" si="6"/>
        <v>2024</v>
      </c>
      <c r="C138" s="4">
        <f t="shared" si="7"/>
        <v>3</v>
      </c>
      <c r="D138" s="2">
        <v>45370.810100428243</v>
      </c>
      <c r="E138" s="4">
        <f t="shared" si="8"/>
        <v>19</v>
      </c>
      <c r="F138" t="s">
        <v>21</v>
      </c>
      <c r="H138" s="3">
        <v>40</v>
      </c>
      <c r="I138" t="s">
        <v>9</v>
      </c>
    </row>
    <row r="139" spans="1:9" x14ac:dyDescent="0.3">
      <c r="A139" s="1">
        <v>45371</v>
      </c>
      <c r="B139" s="4">
        <f t="shared" si="6"/>
        <v>2024</v>
      </c>
      <c r="C139" s="4">
        <f t="shared" si="7"/>
        <v>3</v>
      </c>
      <c r="D139" s="2">
        <v>45371.486995405096</v>
      </c>
      <c r="E139" s="4">
        <f t="shared" si="8"/>
        <v>11</v>
      </c>
      <c r="F139" t="s">
        <v>3</v>
      </c>
      <c r="G139" t="s">
        <v>23</v>
      </c>
      <c r="H139" s="3">
        <v>28.9</v>
      </c>
      <c r="I139" t="s">
        <v>28</v>
      </c>
    </row>
    <row r="140" spans="1:9" hidden="1" x14ac:dyDescent="0.3">
      <c r="A140" s="1">
        <v>45371</v>
      </c>
      <c r="B140" s="4">
        <f t="shared" si="6"/>
        <v>2024</v>
      </c>
      <c r="C140" s="4">
        <f t="shared" si="7"/>
        <v>3</v>
      </c>
      <c r="D140" s="2">
        <v>45371.514672777776</v>
      </c>
      <c r="E140" s="4">
        <f t="shared" si="8"/>
        <v>12</v>
      </c>
      <c r="F140" t="s">
        <v>21</v>
      </c>
      <c r="H140" s="3">
        <v>40</v>
      </c>
      <c r="I140" t="s">
        <v>7</v>
      </c>
    </row>
    <row r="141" spans="1:9" x14ac:dyDescent="0.3">
      <c r="A141" s="1">
        <v>45371</v>
      </c>
      <c r="B141" s="4">
        <f t="shared" si="6"/>
        <v>2024</v>
      </c>
      <c r="C141" s="4">
        <f t="shared" si="7"/>
        <v>3</v>
      </c>
      <c r="D141" s="2">
        <v>45371.521400092592</v>
      </c>
      <c r="E141" s="4">
        <f t="shared" si="8"/>
        <v>12</v>
      </c>
      <c r="F141" t="s">
        <v>3</v>
      </c>
      <c r="G141" t="s">
        <v>63</v>
      </c>
      <c r="H141" s="3">
        <v>28.9</v>
      </c>
      <c r="I141" t="s">
        <v>28</v>
      </c>
    </row>
    <row r="142" spans="1:9" x14ac:dyDescent="0.3">
      <c r="A142" s="1">
        <v>45371</v>
      </c>
      <c r="B142" s="4">
        <f t="shared" si="6"/>
        <v>2024</v>
      </c>
      <c r="C142" s="4">
        <f t="shared" si="7"/>
        <v>3</v>
      </c>
      <c r="D142" s="2">
        <v>45371.553326319445</v>
      </c>
      <c r="E142" s="4">
        <f t="shared" si="8"/>
        <v>13</v>
      </c>
      <c r="F142" t="s">
        <v>3</v>
      </c>
      <c r="G142" t="s">
        <v>81</v>
      </c>
      <c r="H142" s="3">
        <v>38.700000000000003</v>
      </c>
      <c r="I142" t="s">
        <v>43</v>
      </c>
    </row>
    <row r="143" spans="1:9" x14ac:dyDescent="0.3">
      <c r="A143" s="1">
        <v>45371</v>
      </c>
      <c r="B143" s="4">
        <f t="shared" si="6"/>
        <v>2024</v>
      </c>
      <c r="C143" s="4">
        <f t="shared" si="7"/>
        <v>3</v>
      </c>
      <c r="D143" s="2">
        <v>45371.696274502312</v>
      </c>
      <c r="E143" s="4">
        <f t="shared" si="8"/>
        <v>16</v>
      </c>
      <c r="F143" t="s">
        <v>3</v>
      </c>
      <c r="G143" t="s">
        <v>64</v>
      </c>
      <c r="H143" s="3">
        <v>38.700000000000003</v>
      </c>
      <c r="I143" t="s">
        <v>18</v>
      </c>
    </row>
    <row r="144" spans="1:9" x14ac:dyDescent="0.3">
      <c r="A144" s="1">
        <v>45371</v>
      </c>
      <c r="B144" s="4">
        <f t="shared" si="6"/>
        <v>2024</v>
      </c>
      <c r="C144" s="4">
        <f t="shared" si="7"/>
        <v>3</v>
      </c>
      <c r="D144" s="2">
        <v>45371.743388668983</v>
      </c>
      <c r="E144" s="4">
        <f t="shared" si="8"/>
        <v>17</v>
      </c>
      <c r="F144" t="s">
        <v>3</v>
      </c>
      <c r="G144" t="s">
        <v>82</v>
      </c>
      <c r="H144" s="3">
        <v>38.700000000000003</v>
      </c>
      <c r="I144" t="s">
        <v>7</v>
      </c>
    </row>
    <row r="145" spans="1:9" hidden="1" x14ac:dyDescent="0.3">
      <c r="A145" s="1">
        <v>45372</v>
      </c>
      <c r="B145" s="4">
        <f t="shared" si="6"/>
        <v>2024</v>
      </c>
      <c r="C145" s="4">
        <f t="shared" si="7"/>
        <v>3</v>
      </c>
      <c r="D145" s="2">
        <v>45372.429826122687</v>
      </c>
      <c r="E145" s="4">
        <f t="shared" si="8"/>
        <v>10</v>
      </c>
      <c r="F145" t="s">
        <v>21</v>
      </c>
      <c r="H145" s="3">
        <v>40</v>
      </c>
      <c r="I145" t="s">
        <v>43</v>
      </c>
    </row>
    <row r="146" spans="1:9" x14ac:dyDescent="0.3">
      <c r="A146" s="1">
        <v>45372</v>
      </c>
      <c r="B146" s="4">
        <f t="shared" si="6"/>
        <v>2024</v>
      </c>
      <c r="C146" s="4">
        <f t="shared" si="7"/>
        <v>3</v>
      </c>
      <c r="D146" s="2">
        <v>45372.517467523146</v>
      </c>
      <c r="E146" s="4">
        <f t="shared" si="8"/>
        <v>12</v>
      </c>
      <c r="F146" t="s">
        <v>3</v>
      </c>
      <c r="G146" t="s">
        <v>23</v>
      </c>
      <c r="H146" s="3">
        <v>28.9</v>
      </c>
      <c r="I146" t="s">
        <v>28</v>
      </c>
    </row>
    <row r="147" spans="1:9" x14ac:dyDescent="0.3">
      <c r="A147" s="1">
        <v>45372</v>
      </c>
      <c r="B147" s="4">
        <f t="shared" si="6"/>
        <v>2024</v>
      </c>
      <c r="C147" s="4">
        <f t="shared" si="7"/>
        <v>3</v>
      </c>
      <c r="D147" s="2">
        <v>45372.518257268515</v>
      </c>
      <c r="E147" s="4">
        <f t="shared" si="8"/>
        <v>12</v>
      </c>
      <c r="F147" t="s">
        <v>3</v>
      </c>
      <c r="G147" t="s">
        <v>23</v>
      </c>
      <c r="H147" s="3">
        <v>38.700000000000003</v>
      </c>
      <c r="I147" t="s">
        <v>43</v>
      </c>
    </row>
    <row r="148" spans="1:9" hidden="1" x14ac:dyDescent="0.3">
      <c r="A148" s="1">
        <v>45372</v>
      </c>
      <c r="B148" s="4">
        <f t="shared" si="6"/>
        <v>2024</v>
      </c>
      <c r="C148" s="4">
        <f t="shared" si="7"/>
        <v>3</v>
      </c>
      <c r="D148" s="2">
        <v>45372.722933483798</v>
      </c>
      <c r="E148" s="4">
        <f t="shared" si="8"/>
        <v>17</v>
      </c>
      <c r="F148" t="s">
        <v>21</v>
      </c>
      <c r="H148" s="3">
        <v>30</v>
      </c>
      <c r="I148" t="s">
        <v>11</v>
      </c>
    </row>
    <row r="149" spans="1:9" x14ac:dyDescent="0.3">
      <c r="A149" s="1">
        <v>45372</v>
      </c>
      <c r="B149" s="4">
        <f t="shared" si="6"/>
        <v>2024</v>
      </c>
      <c r="C149" s="4">
        <f t="shared" si="7"/>
        <v>3</v>
      </c>
      <c r="D149" s="2">
        <v>45372.723626770836</v>
      </c>
      <c r="E149" s="4">
        <f t="shared" si="8"/>
        <v>17</v>
      </c>
      <c r="F149" t="s">
        <v>3</v>
      </c>
      <c r="G149" t="s">
        <v>23</v>
      </c>
      <c r="H149" s="3">
        <v>28.9</v>
      </c>
      <c r="I149" t="s">
        <v>28</v>
      </c>
    </row>
    <row r="150" spans="1:9" x14ac:dyDescent="0.3">
      <c r="A150" s="1">
        <v>45372</v>
      </c>
      <c r="B150" s="4">
        <f t="shared" si="6"/>
        <v>2024</v>
      </c>
      <c r="C150" s="4">
        <f t="shared" si="7"/>
        <v>3</v>
      </c>
      <c r="D150" s="2">
        <v>45372.805978101853</v>
      </c>
      <c r="E150" s="4">
        <f t="shared" si="8"/>
        <v>19</v>
      </c>
      <c r="F150" t="s">
        <v>3</v>
      </c>
      <c r="G150" t="s">
        <v>83</v>
      </c>
      <c r="H150" s="3">
        <v>38.700000000000003</v>
      </c>
      <c r="I150" t="s">
        <v>7</v>
      </c>
    </row>
    <row r="151" spans="1:9" x14ac:dyDescent="0.3">
      <c r="A151" s="1">
        <v>45373</v>
      </c>
      <c r="B151" s="4">
        <f t="shared" si="6"/>
        <v>2024</v>
      </c>
      <c r="C151" s="4">
        <f t="shared" si="7"/>
        <v>3</v>
      </c>
      <c r="D151" s="2">
        <v>45373.441592812502</v>
      </c>
      <c r="E151" s="4">
        <f t="shared" si="8"/>
        <v>10</v>
      </c>
      <c r="F151" t="s">
        <v>3</v>
      </c>
      <c r="G151" t="s">
        <v>84</v>
      </c>
      <c r="H151" s="3">
        <v>33.799999999999997</v>
      </c>
      <c r="I151" t="s">
        <v>14</v>
      </c>
    </row>
    <row r="152" spans="1:9" x14ac:dyDescent="0.3">
      <c r="A152" s="1">
        <v>45373</v>
      </c>
      <c r="B152" s="4">
        <f t="shared" si="6"/>
        <v>2024</v>
      </c>
      <c r="C152" s="4">
        <f t="shared" si="7"/>
        <v>3</v>
      </c>
      <c r="D152" s="2">
        <v>45373.562041006946</v>
      </c>
      <c r="E152" s="4">
        <f t="shared" si="8"/>
        <v>13</v>
      </c>
      <c r="F152" t="s">
        <v>3</v>
      </c>
      <c r="G152" t="s">
        <v>85</v>
      </c>
      <c r="H152" s="3">
        <v>33.799999999999997</v>
      </c>
      <c r="I152" t="s">
        <v>14</v>
      </c>
    </row>
    <row r="153" spans="1:9" hidden="1" x14ac:dyDescent="0.3">
      <c r="A153" s="1">
        <v>45373</v>
      </c>
      <c r="B153" s="4">
        <f t="shared" si="6"/>
        <v>2024</v>
      </c>
      <c r="C153" s="4">
        <f t="shared" si="7"/>
        <v>3</v>
      </c>
      <c r="D153" s="2">
        <v>45373.677250555556</v>
      </c>
      <c r="E153" s="4">
        <f t="shared" si="8"/>
        <v>16</v>
      </c>
      <c r="F153" t="s">
        <v>21</v>
      </c>
      <c r="H153" s="3">
        <v>40</v>
      </c>
      <c r="I153" t="s">
        <v>43</v>
      </c>
    </row>
    <row r="154" spans="1:9" x14ac:dyDescent="0.3">
      <c r="A154" s="1">
        <v>45373</v>
      </c>
      <c r="B154" s="4">
        <f t="shared" si="6"/>
        <v>2024</v>
      </c>
      <c r="C154" s="4">
        <f t="shared" si="7"/>
        <v>3</v>
      </c>
      <c r="D154" s="2">
        <v>45373.720181990742</v>
      </c>
      <c r="E154" s="4">
        <f t="shared" si="8"/>
        <v>17</v>
      </c>
      <c r="F154" t="s">
        <v>3</v>
      </c>
      <c r="G154" t="s">
        <v>23</v>
      </c>
      <c r="H154" s="3">
        <v>28.9</v>
      </c>
      <c r="I154" t="s">
        <v>11</v>
      </c>
    </row>
    <row r="155" spans="1:9" x14ac:dyDescent="0.3">
      <c r="A155" s="1">
        <v>45373</v>
      </c>
      <c r="B155" s="4">
        <f t="shared" si="6"/>
        <v>2024</v>
      </c>
      <c r="C155" s="4">
        <f t="shared" si="7"/>
        <v>3</v>
      </c>
      <c r="D155" s="2">
        <v>45373.720821655093</v>
      </c>
      <c r="E155" s="4">
        <f t="shared" si="8"/>
        <v>17</v>
      </c>
      <c r="F155" t="s">
        <v>3</v>
      </c>
      <c r="G155" t="s">
        <v>23</v>
      </c>
      <c r="H155" s="3">
        <v>24</v>
      </c>
      <c r="I155" t="s">
        <v>35</v>
      </c>
    </row>
    <row r="156" spans="1:9" x14ac:dyDescent="0.3">
      <c r="A156" s="1">
        <v>45373</v>
      </c>
      <c r="B156" s="4">
        <f t="shared" si="6"/>
        <v>2024</v>
      </c>
      <c r="C156" s="4">
        <f t="shared" si="7"/>
        <v>3</v>
      </c>
      <c r="D156" s="2">
        <v>45373.722795023146</v>
      </c>
      <c r="E156" s="4">
        <f t="shared" si="8"/>
        <v>17</v>
      </c>
      <c r="F156" t="s">
        <v>3</v>
      </c>
      <c r="G156" t="s">
        <v>64</v>
      </c>
      <c r="H156" s="3">
        <v>28.9</v>
      </c>
      <c r="I156" t="s">
        <v>11</v>
      </c>
    </row>
    <row r="157" spans="1:9" x14ac:dyDescent="0.3">
      <c r="A157" s="1">
        <v>45374</v>
      </c>
      <c r="B157" s="4">
        <f t="shared" si="6"/>
        <v>2024</v>
      </c>
      <c r="C157" s="4">
        <f t="shared" si="7"/>
        <v>3</v>
      </c>
      <c r="D157" s="2">
        <v>45374.447217118053</v>
      </c>
      <c r="E157" s="4">
        <f t="shared" si="8"/>
        <v>10</v>
      </c>
      <c r="F157" t="s">
        <v>3</v>
      </c>
      <c r="G157" t="s">
        <v>86</v>
      </c>
      <c r="H157" s="3">
        <v>38.700000000000003</v>
      </c>
      <c r="I157" t="s">
        <v>7</v>
      </c>
    </row>
    <row r="158" spans="1:9" x14ac:dyDescent="0.3">
      <c r="A158" s="1">
        <v>45374</v>
      </c>
      <c r="B158" s="4">
        <f t="shared" si="6"/>
        <v>2024</v>
      </c>
      <c r="C158" s="4">
        <f t="shared" si="7"/>
        <v>3</v>
      </c>
      <c r="D158" s="2">
        <v>45374.447999502314</v>
      </c>
      <c r="E158" s="4">
        <f t="shared" si="8"/>
        <v>10</v>
      </c>
      <c r="F158" t="s">
        <v>3</v>
      </c>
      <c r="G158" t="s">
        <v>87</v>
      </c>
      <c r="H158" s="3">
        <v>33.799999999999997</v>
      </c>
      <c r="I158" t="s">
        <v>14</v>
      </c>
    </row>
    <row r="159" spans="1:9" x14ac:dyDescent="0.3">
      <c r="A159" s="1">
        <v>45374</v>
      </c>
      <c r="B159" s="4">
        <f t="shared" si="6"/>
        <v>2024</v>
      </c>
      <c r="C159" s="4">
        <f t="shared" si="7"/>
        <v>3</v>
      </c>
      <c r="D159" s="2">
        <v>45374.548699780091</v>
      </c>
      <c r="E159" s="4">
        <f t="shared" si="8"/>
        <v>13</v>
      </c>
      <c r="F159" t="s">
        <v>3</v>
      </c>
      <c r="G159" t="s">
        <v>88</v>
      </c>
      <c r="H159" s="3">
        <v>38.700000000000003</v>
      </c>
      <c r="I159" t="s">
        <v>43</v>
      </c>
    </row>
    <row r="160" spans="1:9" x14ac:dyDescent="0.3">
      <c r="A160" s="1">
        <v>45374</v>
      </c>
      <c r="B160" s="4">
        <f t="shared" si="6"/>
        <v>2024</v>
      </c>
      <c r="C160" s="4">
        <f t="shared" si="7"/>
        <v>3</v>
      </c>
      <c r="D160" s="2">
        <v>45374.549447106481</v>
      </c>
      <c r="E160" s="4">
        <f t="shared" si="8"/>
        <v>13</v>
      </c>
      <c r="F160" t="s">
        <v>3</v>
      </c>
      <c r="G160" t="s">
        <v>88</v>
      </c>
      <c r="H160" s="3">
        <v>38.700000000000003</v>
      </c>
      <c r="I160" t="s">
        <v>18</v>
      </c>
    </row>
    <row r="161" spans="1:9" x14ac:dyDescent="0.3">
      <c r="A161" s="1">
        <v>45374</v>
      </c>
      <c r="B161" s="4">
        <f t="shared" si="6"/>
        <v>2024</v>
      </c>
      <c r="C161" s="4">
        <f t="shared" si="7"/>
        <v>3</v>
      </c>
      <c r="D161" s="2">
        <v>45374.614366620372</v>
      </c>
      <c r="E161" s="4">
        <f t="shared" si="8"/>
        <v>14</v>
      </c>
      <c r="F161" t="s">
        <v>3</v>
      </c>
      <c r="G161" t="s">
        <v>89</v>
      </c>
      <c r="H161" s="3">
        <v>33.799999999999997</v>
      </c>
      <c r="I161" t="s">
        <v>14</v>
      </c>
    </row>
    <row r="162" spans="1:9" x14ac:dyDescent="0.3">
      <c r="A162" s="1">
        <v>45374</v>
      </c>
      <c r="B162" s="4">
        <f t="shared" si="6"/>
        <v>2024</v>
      </c>
      <c r="C162" s="4">
        <f t="shared" si="7"/>
        <v>3</v>
      </c>
      <c r="D162" s="2">
        <v>45374.657859513885</v>
      </c>
      <c r="E162" s="4">
        <f t="shared" si="8"/>
        <v>15</v>
      </c>
      <c r="F162" t="s">
        <v>3</v>
      </c>
      <c r="G162" t="s">
        <v>90</v>
      </c>
      <c r="H162" s="3">
        <v>38.700000000000003</v>
      </c>
      <c r="I162" t="s">
        <v>7</v>
      </c>
    </row>
    <row r="163" spans="1:9" x14ac:dyDescent="0.3">
      <c r="A163" s="1">
        <v>45374</v>
      </c>
      <c r="B163" s="4">
        <f t="shared" si="6"/>
        <v>2024</v>
      </c>
      <c r="C163" s="4">
        <f t="shared" si="7"/>
        <v>3</v>
      </c>
      <c r="D163" s="2">
        <v>45374.659419131945</v>
      </c>
      <c r="E163" s="4">
        <f t="shared" si="8"/>
        <v>15</v>
      </c>
      <c r="F163" t="s">
        <v>3</v>
      </c>
      <c r="G163" t="s">
        <v>90</v>
      </c>
      <c r="H163" s="3">
        <v>33.799999999999997</v>
      </c>
      <c r="I163" t="s">
        <v>14</v>
      </c>
    </row>
    <row r="164" spans="1:9" x14ac:dyDescent="0.3">
      <c r="A164" s="1">
        <v>45374</v>
      </c>
      <c r="B164" s="4">
        <f t="shared" si="6"/>
        <v>2024</v>
      </c>
      <c r="C164" s="4">
        <f t="shared" si="7"/>
        <v>3</v>
      </c>
      <c r="D164" s="2">
        <v>45374.667342430555</v>
      </c>
      <c r="E164" s="4">
        <f t="shared" si="8"/>
        <v>16</v>
      </c>
      <c r="F164" t="s">
        <v>3</v>
      </c>
      <c r="G164" t="s">
        <v>19</v>
      </c>
      <c r="H164" s="3">
        <v>28.9</v>
      </c>
      <c r="I164" t="s">
        <v>28</v>
      </c>
    </row>
    <row r="165" spans="1:9" hidden="1" x14ac:dyDescent="0.3">
      <c r="A165" s="1">
        <v>45375</v>
      </c>
      <c r="B165" s="4">
        <f t="shared" si="6"/>
        <v>2024</v>
      </c>
      <c r="C165" s="4">
        <f t="shared" si="7"/>
        <v>3</v>
      </c>
      <c r="D165" s="2">
        <v>45375.419398206017</v>
      </c>
      <c r="E165" s="4">
        <f t="shared" si="8"/>
        <v>10</v>
      </c>
      <c r="F165" t="s">
        <v>21</v>
      </c>
      <c r="H165" s="3">
        <v>40</v>
      </c>
      <c r="I165" t="s">
        <v>7</v>
      </c>
    </row>
    <row r="166" spans="1:9" x14ac:dyDescent="0.3">
      <c r="A166" s="1">
        <v>45375</v>
      </c>
      <c r="B166" s="4">
        <f t="shared" si="6"/>
        <v>2024</v>
      </c>
      <c r="C166" s="4">
        <f t="shared" si="7"/>
        <v>3</v>
      </c>
      <c r="D166" s="2">
        <v>45375.781347187498</v>
      </c>
      <c r="E166" s="4">
        <f t="shared" si="8"/>
        <v>18</v>
      </c>
      <c r="F166" t="s">
        <v>3</v>
      </c>
      <c r="G166" t="s">
        <v>91</v>
      </c>
      <c r="H166" s="3">
        <v>38.700000000000003</v>
      </c>
      <c r="I166" t="s">
        <v>7</v>
      </c>
    </row>
    <row r="167" spans="1:9" x14ac:dyDescent="0.3">
      <c r="A167" s="1">
        <v>45376</v>
      </c>
      <c r="B167" s="4">
        <f t="shared" si="6"/>
        <v>2024</v>
      </c>
      <c r="C167" s="4">
        <f t="shared" si="7"/>
        <v>3</v>
      </c>
      <c r="D167" s="2">
        <v>45376.438741319442</v>
      </c>
      <c r="E167" s="4">
        <f t="shared" si="8"/>
        <v>10</v>
      </c>
      <c r="F167" t="s">
        <v>3</v>
      </c>
      <c r="G167" t="s">
        <v>19</v>
      </c>
      <c r="H167" s="3">
        <v>38.700000000000003</v>
      </c>
      <c r="I167" t="s">
        <v>7</v>
      </c>
    </row>
    <row r="168" spans="1:9" hidden="1" x14ac:dyDescent="0.3">
      <c r="A168" s="1">
        <v>45376</v>
      </c>
      <c r="B168" s="4">
        <f t="shared" si="6"/>
        <v>2024</v>
      </c>
      <c r="C168" s="4">
        <f t="shared" si="7"/>
        <v>3</v>
      </c>
      <c r="D168" s="2">
        <v>45376.469741562498</v>
      </c>
      <c r="E168" s="4">
        <f t="shared" si="8"/>
        <v>11</v>
      </c>
      <c r="F168" t="s">
        <v>21</v>
      </c>
      <c r="H168" s="3">
        <v>35</v>
      </c>
      <c r="I168" t="s">
        <v>14</v>
      </c>
    </row>
    <row r="169" spans="1:9" x14ac:dyDescent="0.3">
      <c r="A169" s="1">
        <v>45376</v>
      </c>
      <c r="B169" s="4">
        <f t="shared" si="6"/>
        <v>2024</v>
      </c>
      <c r="C169" s="4">
        <f t="shared" si="7"/>
        <v>3</v>
      </c>
      <c r="D169" s="2">
        <v>45376.602189386576</v>
      </c>
      <c r="E169" s="4">
        <f t="shared" si="8"/>
        <v>14</v>
      </c>
      <c r="F169" t="s">
        <v>3</v>
      </c>
      <c r="G169" t="s">
        <v>92</v>
      </c>
      <c r="H169" s="3">
        <v>38.700000000000003</v>
      </c>
      <c r="I169" t="s">
        <v>7</v>
      </c>
    </row>
    <row r="170" spans="1:9" x14ac:dyDescent="0.3">
      <c r="A170" s="1">
        <v>45376</v>
      </c>
      <c r="B170" s="4">
        <f t="shared" si="6"/>
        <v>2024</v>
      </c>
      <c r="C170" s="4">
        <f t="shared" si="7"/>
        <v>3</v>
      </c>
      <c r="D170" s="2">
        <v>45376.60376554398</v>
      </c>
      <c r="E170" s="4">
        <f t="shared" si="8"/>
        <v>14</v>
      </c>
      <c r="F170" t="s">
        <v>3</v>
      </c>
      <c r="G170" t="s">
        <v>29</v>
      </c>
      <c r="H170" s="3">
        <v>38.700000000000003</v>
      </c>
      <c r="I170" t="s">
        <v>7</v>
      </c>
    </row>
    <row r="171" spans="1:9" x14ac:dyDescent="0.3">
      <c r="A171" s="1">
        <v>45376</v>
      </c>
      <c r="B171" s="4">
        <f t="shared" si="6"/>
        <v>2024</v>
      </c>
      <c r="C171" s="4">
        <f t="shared" si="7"/>
        <v>3</v>
      </c>
      <c r="D171" s="2">
        <v>45376.776049189815</v>
      </c>
      <c r="E171" s="4">
        <f t="shared" si="8"/>
        <v>18</v>
      </c>
      <c r="F171" t="s">
        <v>3</v>
      </c>
      <c r="G171" t="s">
        <v>37</v>
      </c>
      <c r="H171" s="3">
        <v>33.799999999999997</v>
      </c>
      <c r="I171" t="s">
        <v>14</v>
      </c>
    </row>
    <row r="172" spans="1:9" x14ac:dyDescent="0.3">
      <c r="A172" s="1">
        <v>45376</v>
      </c>
      <c r="B172" s="4">
        <f t="shared" si="6"/>
        <v>2024</v>
      </c>
      <c r="C172" s="4">
        <f t="shared" si="7"/>
        <v>3</v>
      </c>
      <c r="D172" s="2">
        <v>45376.815561828706</v>
      </c>
      <c r="E172" s="4">
        <f t="shared" si="8"/>
        <v>19</v>
      </c>
      <c r="F172" t="s">
        <v>3</v>
      </c>
      <c r="G172" t="s">
        <v>93</v>
      </c>
      <c r="H172" s="3">
        <v>38.700000000000003</v>
      </c>
      <c r="I172" t="s">
        <v>43</v>
      </c>
    </row>
    <row r="173" spans="1:9" x14ac:dyDescent="0.3">
      <c r="A173" s="1">
        <v>45377</v>
      </c>
      <c r="B173" s="4">
        <f t="shared" si="6"/>
        <v>2024</v>
      </c>
      <c r="C173" s="4">
        <f t="shared" si="7"/>
        <v>3</v>
      </c>
      <c r="D173" s="2">
        <v>45377.441547210648</v>
      </c>
      <c r="E173" s="4">
        <f t="shared" si="8"/>
        <v>10</v>
      </c>
      <c r="F173" t="s">
        <v>3</v>
      </c>
      <c r="G173" t="s">
        <v>69</v>
      </c>
      <c r="H173" s="3">
        <v>38.700000000000003</v>
      </c>
      <c r="I173" t="s">
        <v>18</v>
      </c>
    </row>
    <row r="174" spans="1:9" x14ac:dyDescent="0.3">
      <c r="A174" s="1">
        <v>45377</v>
      </c>
      <c r="B174" s="4">
        <f t="shared" si="6"/>
        <v>2024</v>
      </c>
      <c r="C174" s="4">
        <f t="shared" si="7"/>
        <v>3</v>
      </c>
      <c r="D174" s="2">
        <v>45377.44208508102</v>
      </c>
      <c r="E174" s="4">
        <f t="shared" si="8"/>
        <v>10</v>
      </c>
      <c r="F174" t="s">
        <v>3</v>
      </c>
      <c r="G174" t="s">
        <v>69</v>
      </c>
      <c r="H174" s="3">
        <v>38.700000000000003</v>
      </c>
      <c r="I174" t="s">
        <v>7</v>
      </c>
    </row>
    <row r="175" spans="1:9" x14ac:dyDescent="0.3">
      <c r="A175" s="1">
        <v>45377</v>
      </c>
      <c r="B175" s="4">
        <f t="shared" si="6"/>
        <v>2024</v>
      </c>
      <c r="C175" s="4">
        <f t="shared" si="7"/>
        <v>3</v>
      </c>
      <c r="D175" s="2">
        <v>45377.446182523148</v>
      </c>
      <c r="E175" s="4">
        <f t="shared" si="8"/>
        <v>10</v>
      </c>
      <c r="F175" t="s">
        <v>3</v>
      </c>
      <c r="G175" t="s">
        <v>94</v>
      </c>
      <c r="H175" s="3">
        <v>38.700000000000003</v>
      </c>
      <c r="I175" t="s">
        <v>7</v>
      </c>
    </row>
    <row r="176" spans="1:9" x14ac:dyDescent="0.3">
      <c r="A176" s="1">
        <v>45377</v>
      </c>
      <c r="B176" s="4">
        <f t="shared" si="6"/>
        <v>2024</v>
      </c>
      <c r="C176" s="4">
        <f t="shared" si="7"/>
        <v>3</v>
      </c>
      <c r="D176" s="2">
        <v>45377.46652008102</v>
      </c>
      <c r="E176" s="4">
        <f t="shared" si="8"/>
        <v>11</v>
      </c>
      <c r="F176" t="s">
        <v>3</v>
      </c>
      <c r="G176" t="s">
        <v>19</v>
      </c>
      <c r="H176" s="3">
        <v>28.9</v>
      </c>
      <c r="I176" t="s">
        <v>28</v>
      </c>
    </row>
    <row r="177" spans="1:9" x14ac:dyDescent="0.3">
      <c r="A177" s="1">
        <v>45377</v>
      </c>
      <c r="B177" s="4">
        <f t="shared" si="6"/>
        <v>2024</v>
      </c>
      <c r="C177" s="4">
        <f t="shared" si="7"/>
        <v>3</v>
      </c>
      <c r="D177" s="2">
        <v>45377.566583020831</v>
      </c>
      <c r="E177" s="4">
        <f t="shared" si="8"/>
        <v>13</v>
      </c>
      <c r="F177" t="s">
        <v>3</v>
      </c>
      <c r="G177" t="s">
        <v>10</v>
      </c>
      <c r="H177" s="3">
        <v>28.9</v>
      </c>
      <c r="I177" t="s">
        <v>11</v>
      </c>
    </row>
    <row r="178" spans="1:9" x14ac:dyDescent="0.3">
      <c r="A178" s="1">
        <v>45377</v>
      </c>
      <c r="B178" s="4">
        <f t="shared" si="6"/>
        <v>2024</v>
      </c>
      <c r="C178" s="4">
        <f t="shared" si="7"/>
        <v>3</v>
      </c>
      <c r="D178" s="2">
        <v>45377.567241249999</v>
      </c>
      <c r="E178" s="4">
        <f t="shared" si="8"/>
        <v>13</v>
      </c>
      <c r="F178" t="s">
        <v>3</v>
      </c>
      <c r="G178" t="s">
        <v>46</v>
      </c>
      <c r="H178" s="3">
        <v>28.9</v>
      </c>
      <c r="I178" t="s">
        <v>28</v>
      </c>
    </row>
    <row r="179" spans="1:9" x14ac:dyDescent="0.3">
      <c r="A179" s="1">
        <v>45377</v>
      </c>
      <c r="B179" s="4">
        <f t="shared" si="6"/>
        <v>2024</v>
      </c>
      <c r="C179" s="4">
        <f t="shared" si="7"/>
        <v>3</v>
      </c>
      <c r="D179" s="2">
        <v>45377.568052349539</v>
      </c>
      <c r="E179" s="4">
        <f t="shared" si="8"/>
        <v>13</v>
      </c>
      <c r="F179" t="s">
        <v>3</v>
      </c>
      <c r="G179" t="s">
        <v>73</v>
      </c>
      <c r="H179" s="3">
        <v>28.9</v>
      </c>
      <c r="I179" t="s">
        <v>28</v>
      </c>
    </row>
    <row r="180" spans="1:9" x14ac:dyDescent="0.3">
      <c r="A180" s="1">
        <v>45377</v>
      </c>
      <c r="B180" s="4">
        <f t="shared" si="6"/>
        <v>2024</v>
      </c>
      <c r="C180" s="4">
        <f t="shared" si="7"/>
        <v>3</v>
      </c>
      <c r="D180" s="2">
        <v>45377.581871261573</v>
      </c>
      <c r="E180" s="4">
        <f t="shared" si="8"/>
        <v>13</v>
      </c>
      <c r="F180" t="s">
        <v>3</v>
      </c>
      <c r="G180" t="s">
        <v>64</v>
      </c>
      <c r="H180" s="3">
        <v>28.9</v>
      </c>
      <c r="I180" t="s">
        <v>11</v>
      </c>
    </row>
    <row r="181" spans="1:9" x14ac:dyDescent="0.3">
      <c r="A181" s="1">
        <v>45377</v>
      </c>
      <c r="B181" s="4">
        <f t="shared" si="6"/>
        <v>2024</v>
      </c>
      <c r="C181" s="4">
        <f t="shared" si="7"/>
        <v>3</v>
      </c>
      <c r="D181" s="2">
        <v>45377.658359606481</v>
      </c>
      <c r="E181" s="4">
        <f t="shared" si="8"/>
        <v>15</v>
      </c>
      <c r="F181" t="s">
        <v>3</v>
      </c>
      <c r="G181" t="s">
        <v>95</v>
      </c>
      <c r="H181" s="3">
        <v>38.700000000000003</v>
      </c>
      <c r="I181" t="s">
        <v>7</v>
      </c>
    </row>
    <row r="182" spans="1:9" x14ac:dyDescent="0.3">
      <c r="A182" s="1">
        <v>45377</v>
      </c>
      <c r="B182" s="4">
        <f t="shared" si="6"/>
        <v>2024</v>
      </c>
      <c r="C182" s="4">
        <f t="shared" si="7"/>
        <v>3</v>
      </c>
      <c r="D182" s="2">
        <v>45377.773363055552</v>
      </c>
      <c r="E182" s="4">
        <f t="shared" si="8"/>
        <v>18</v>
      </c>
      <c r="F182" t="s">
        <v>3</v>
      </c>
      <c r="G182" t="s">
        <v>37</v>
      </c>
      <c r="H182" s="3">
        <v>38.700000000000003</v>
      </c>
      <c r="I182" t="s">
        <v>7</v>
      </c>
    </row>
    <row r="183" spans="1:9" x14ac:dyDescent="0.3">
      <c r="A183" s="1">
        <v>45377</v>
      </c>
      <c r="B183" s="4">
        <f t="shared" si="6"/>
        <v>2024</v>
      </c>
      <c r="C183" s="4">
        <f t="shared" si="7"/>
        <v>3</v>
      </c>
      <c r="D183" s="2">
        <v>45377.774243611108</v>
      </c>
      <c r="E183" s="4">
        <f t="shared" si="8"/>
        <v>18</v>
      </c>
      <c r="F183" t="s">
        <v>3</v>
      </c>
      <c r="G183" t="s">
        <v>19</v>
      </c>
      <c r="H183" s="3">
        <v>38.700000000000003</v>
      </c>
      <c r="I183" t="s">
        <v>9</v>
      </c>
    </row>
    <row r="184" spans="1:9" x14ac:dyDescent="0.3">
      <c r="A184" s="1">
        <v>45378</v>
      </c>
      <c r="B184" s="4">
        <f t="shared" si="6"/>
        <v>2024</v>
      </c>
      <c r="C184" s="4">
        <f t="shared" si="7"/>
        <v>3</v>
      </c>
      <c r="D184" s="2">
        <v>45378.461703402776</v>
      </c>
      <c r="E184" s="4">
        <f t="shared" si="8"/>
        <v>11</v>
      </c>
      <c r="F184" t="s">
        <v>3</v>
      </c>
      <c r="G184" t="s">
        <v>10</v>
      </c>
      <c r="H184" s="3">
        <v>28.9</v>
      </c>
      <c r="I184" t="s">
        <v>28</v>
      </c>
    </row>
    <row r="185" spans="1:9" x14ac:dyDescent="0.3">
      <c r="A185" s="1">
        <v>45378</v>
      </c>
      <c r="B185" s="4">
        <f t="shared" si="6"/>
        <v>2024</v>
      </c>
      <c r="C185" s="4">
        <f t="shared" si="7"/>
        <v>3</v>
      </c>
      <c r="D185" s="2">
        <v>45378.462479583337</v>
      </c>
      <c r="E185" s="4">
        <f t="shared" si="8"/>
        <v>11</v>
      </c>
      <c r="F185" t="s">
        <v>3</v>
      </c>
      <c r="G185" t="s">
        <v>10</v>
      </c>
      <c r="H185" s="3">
        <v>33.799999999999997</v>
      </c>
      <c r="I185" t="s">
        <v>14</v>
      </c>
    </row>
    <row r="186" spans="1:9" x14ac:dyDescent="0.3">
      <c r="A186" s="1">
        <v>45378</v>
      </c>
      <c r="B186" s="4">
        <f t="shared" si="6"/>
        <v>2024</v>
      </c>
      <c r="C186" s="4">
        <f t="shared" si="7"/>
        <v>3</v>
      </c>
      <c r="D186" s="2">
        <v>45378.539588680556</v>
      </c>
      <c r="E186" s="4">
        <f t="shared" si="8"/>
        <v>12</v>
      </c>
      <c r="F186" t="s">
        <v>3</v>
      </c>
      <c r="G186" t="s">
        <v>96</v>
      </c>
      <c r="H186" s="3">
        <v>33.799999999999997</v>
      </c>
      <c r="I186" t="s">
        <v>14</v>
      </c>
    </row>
    <row r="187" spans="1:9" x14ac:dyDescent="0.3">
      <c r="A187" s="1">
        <v>45378</v>
      </c>
      <c r="B187" s="4">
        <f t="shared" si="6"/>
        <v>2024</v>
      </c>
      <c r="C187" s="4">
        <f t="shared" si="7"/>
        <v>3</v>
      </c>
      <c r="D187" s="2">
        <v>45378.56620415509</v>
      </c>
      <c r="E187" s="4">
        <f t="shared" si="8"/>
        <v>13</v>
      </c>
      <c r="F187" t="s">
        <v>3</v>
      </c>
      <c r="G187" t="s">
        <v>97</v>
      </c>
      <c r="H187" s="3">
        <v>38.700000000000003</v>
      </c>
      <c r="I187" t="s">
        <v>9</v>
      </c>
    </row>
    <row r="188" spans="1:9" x14ac:dyDescent="0.3">
      <c r="A188" s="1">
        <v>45378</v>
      </c>
      <c r="B188" s="4">
        <f t="shared" si="6"/>
        <v>2024</v>
      </c>
      <c r="C188" s="4">
        <f t="shared" si="7"/>
        <v>3</v>
      </c>
      <c r="D188" s="2">
        <v>45378.598977569447</v>
      </c>
      <c r="E188" s="4">
        <f t="shared" si="8"/>
        <v>14</v>
      </c>
      <c r="F188" t="s">
        <v>3</v>
      </c>
      <c r="G188" t="s">
        <v>23</v>
      </c>
      <c r="H188" s="3">
        <v>38.700000000000003</v>
      </c>
      <c r="I188" t="s">
        <v>43</v>
      </c>
    </row>
    <row r="189" spans="1:9" x14ac:dyDescent="0.3">
      <c r="A189" s="1">
        <v>45378</v>
      </c>
      <c r="B189" s="4">
        <f t="shared" si="6"/>
        <v>2024</v>
      </c>
      <c r="C189" s="4">
        <f t="shared" si="7"/>
        <v>3</v>
      </c>
      <c r="D189" s="2">
        <v>45378.599715046294</v>
      </c>
      <c r="E189" s="4">
        <f t="shared" si="8"/>
        <v>14</v>
      </c>
      <c r="F189" t="s">
        <v>3</v>
      </c>
      <c r="G189" t="s">
        <v>23</v>
      </c>
      <c r="H189" s="3">
        <v>28.9</v>
      </c>
      <c r="I189" t="s">
        <v>11</v>
      </c>
    </row>
    <row r="190" spans="1:9" x14ac:dyDescent="0.3">
      <c r="A190" s="1">
        <v>45378</v>
      </c>
      <c r="B190" s="4">
        <f t="shared" si="6"/>
        <v>2024</v>
      </c>
      <c r="C190" s="4">
        <f t="shared" si="7"/>
        <v>3</v>
      </c>
      <c r="D190" s="2">
        <v>45378.770970289355</v>
      </c>
      <c r="E190" s="4">
        <f t="shared" si="8"/>
        <v>18</v>
      </c>
      <c r="F190" t="s">
        <v>3</v>
      </c>
      <c r="G190" t="s">
        <v>98</v>
      </c>
      <c r="H190" s="3">
        <v>28.9</v>
      </c>
      <c r="I190" t="s">
        <v>28</v>
      </c>
    </row>
    <row r="191" spans="1:9" hidden="1" x14ac:dyDescent="0.3">
      <c r="A191" s="1">
        <v>45378</v>
      </c>
      <c r="B191" s="4">
        <f t="shared" si="6"/>
        <v>2024</v>
      </c>
      <c r="C191" s="4">
        <f t="shared" si="7"/>
        <v>3</v>
      </c>
      <c r="D191" s="2">
        <v>45378.813338449072</v>
      </c>
      <c r="E191" s="4">
        <f t="shared" si="8"/>
        <v>19</v>
      </c>
      <c r="F191" t="s">
        <v>21</v>
      </c>
      <c r="H191" s="3">
        <v>40</v>
      </c>
      <c r="I191" t="s">
        <v>7</v>
      </c>
    </row>
    <row r="192" spans="1:9" x14ac:dyDescent="0.3">
      <c r="A192" s="1">
        <v>45379</v>
      </c>
      <c r="B192" s="4">
        <f t="shared" si="6"/>
        <v>2024</v>
      </c>
      <c r="C192" s="4">
        <f t="shared" si="7"/>
        <v>3</v>
      </c>
      <c r="D192" s="2">
        <v>45379.600545046298</v>
      </c>
      <c r="E192" s="4">
        <f t="shared" si="8"/>
        <v>14</v>
      </c>
      <c r="F192" t="s">
        <v>3</v>
      </c>
      <c r="G192" t="s">
        <v>99</v>
      </c>
      <c r="H192" s="3">
        <v>28.9</v>
      </c>
      <c r="I192" t="s">
        <v>28</v>
      </c>
    </row>
    <row r="193" spans="1:9" x14ac:dyDescent="0.3">
      <c r="A193" s="1">
        <v>45379</v>
      </c>
      <c r="B193" s="4">
        <f t="shared" ref="B193:B256" si="9">YEAR(A193)</f>
        <v>2024</v>
      </c>
      <c r="C193" s="4">
        <f t="shared" ref="C193:C256" si="10">MONTH(A193)</f>
        <v>3</v>
      </c>
      <c r="D193" s="2">
        <v>45379.725535231482</v>
      </c>
      <c r="E193" s="4">
        <f t="shared" ref="E193:E256" si="11">HOUR(D193)</f>
        <v>17</v>
      </c>
      <c r="F193" t="s">
        <v>3</v>
      </c>
      <c r="G193" t="s">
        <v>23</v>
      </c>
      <c r="H193" s="3">
        <v>28.9</v>
      </c>
      <c r="I193" t="s">
        <v>28</v>
      </c>
    </row>
    <row r="194" spans="1:9" x14ac:dyDescent="0.3">
      <c r="A194" s="1">
        <v>45379</v>
      </c>
      <c r="B194" s="4">
        <f t="shared" si="9"/>
        <v>2024</v>
      </c>
      <c r="C194" s="4">
        <f t="shared" si="10"/>
        <v>3</v>
      </c>
      <c r="D194" s="2">
        <v>45379.727144722223</v>
      </c>
      <c r="E194" s="4">
        <f t="shared" si="11"/>
        <v>17</v>
      </c>
      <c r="F194" t="s">
        <v>3</v>
      </c>
      <c r="G194" t="s">
        <v>23</v>
      </c>
      <c r="H194" s="3">
        <v>28.9</v>
      </c>
      <c r="I194" t="s">
        <v>11</v>
      </c>
    </row>
    <row r="195" spans="1:9" x14ac:dyDescent="0.3">
      <c r="A195" s="1">
        <v>45379</v>
      </c>
      <c r="B195" s="4">
        <f t="shared" si="9"/>
        <v>2024</v>
      </c>
      <c r="C195" s="4">
        <f t="shared" si="10"/>
        <v>3</v>
      </c>
      <c r="D195" s="2">
        <v>45379.731072361108</v>
      </c>
      <c r="E195" s="4">
        <f t="shared" si="11"/>
        <v>17</v>
      </c>
      <c r="F195" t="s">
        <v>3</v>
      </c>
      <c r="G195" t="s">
        <v>100</v>
      </c>
      <c r="H195" s="3">
        <v>38.700000000000003</v>
      </c>
      <c r="I195" t="s">
        <v>7</v>
      </c>
    </row>
    <row r="196" spans="1:9" x14ac:dyDescent="0.3">
      <c r="A196" s="1">
        <v>45380</v>
      </c>
      <c r="B196" s="4">
        <f t="shared" si="9"/>
        <v>2024</v>
      </c>
      <c r="C196" s="4">
        <f t="shared" si="10"/>
        <v>3</v>
      </c>
      <c r="D196" s="2">
        <v>45380.455781192133</v>
      </c>
      <c r="E196" s="4">
        <f t="shared" si="11"/>
        <v>10</v>
      </c>
      <c r="F196" t="s">
        <v>3</v>
      </c>
      <c r="G196" t="s">
        <v>101</v>
      </c>
      <c r="H196" s="3">
        <v>38.700000000000003</v>
      </c>
      <c r="I196" t="s">
        <v>7</v>
      </c>
    </row>
    <row r="197" spans="1:9" x14ac:dyDescent="0.3">
      <c r="A197" s="1">
        <v>45380</v>
      </c>
      <c r="B197" s="4">
        <f t="shared" si="9"/>
        <v>2024</v>
      </c>
      <c r="C197" s="4">
        <f t="shared" si="10"/>
        <v>3</v>
      </c>
      <c r="D197" s="2">
        <v>45380.52381230324</v>
      </c>
      <c r="E197" s="4">
        <f t="shared" si="11"/>
        <v>12</v>
      </c>
      <c r="F197" t="s">
        <v>3</v>
      </c>
      <c r="G197" t="s">
        <v>102</v>
      </c>
      <c r="H197" s="3">
        <v>38.700000000000003</v>
      </c>
      <c r="I197" t="s">
        <v>43</v>
      </c>
    </row>
    <row r="198" spans="1:9" x14ac:dyDescent="0.3">
      <c r="A198" s="1">
        <v>45380</v>
      </c>
      <c r="B198" s="4">
        <f t="shared" si="9"/>
        <v>2024</v>
      </c>
      <c r="C198" s="4">
        <f t="shared" si="10"/>
        <v>3</v>
      </c>
      <c r="D198" s="2">
        <v>45380.528844039349</v>
      </c>
      <c r="E198" s="4">
        <f t="shared" si="11"/>
        <v>12</v>
      </c>
      <c r="F198" t="s">
        <v>3</v>
      </c>
      <c r="G198" t="s">
        <v>102</v>
      </c>
      <c r="H198" s="3">
        <v>38.700000000000003</v>
      </c>
      <c r="I198" t="s">
        <v>43</v>
      </c>
    </row>
    <row r="199" spans="1:9" hidden="1" x14ac:dyDescent="0.3">
      <c r="A199" s="1">
        <v>45380</v>
      </c>
      <c r="B199" s="4">
        <f t="shared" si="9"/>
        <v>2024</v>
      </c>
      <c r="C199" s="4">
        <f t="shared" si="10"/>
        <v>3</v>
      </c>
      <c r="D199" s="2">
        <v>45380.557460856478</v>
      </c>
      <c r="E199" s="4">
        <f t="shared" si="11"/>
        <v>13</v>
      </c>
      <c r="F199" t="s">
        <v>21</v>
      </c>
      <c r="H199" s="3">
        <v>40</v>
      </c>
      <c r="I199" t="s">
        <v>43</v>
      </c>
    </row>
    <row r="200" spans="1:9" x14ac:dyDescent="0.3">
      <c r="A200" s="1">
        <v>45381</v>
      </c>
      <c r="B200" s="4">
        <f t="shared" si="9"/>
        <v>2024</v>
      </c>
      <c r="C200" s="4">
        <f t="shared" si="10"/>
        <v>3</v>
      </c>
      <c r="D200" s="2">
        <v>45381.499535347219</v>
      </c>
      <c r="E200" s="4">
        <f t="shared" si="11"/>
        <v>11</v>
      </c>
      <c r="F200" t="s">
        <v>3</v>
      </c>
      <c r="G200" t="s">
        <v>83</v>
      </c>
      <c r="H200" s="3">
        <v>38.700000000000003</v>
      </c>
      <c r="I200" t="s">
        <v>7</v>
      </c>
    </row>
    <row r="201" spans="1:9" hidden="1" x14ac:dyDescent="0.3">
      <c r="A201" s="1">
        <v>45381</v>
      </c>
      <c r="B201" s="4">
        <f t="shared" si="9"/>
        <v>2024</v>
      </c>
      <c r="C201" s="4">
        <f t="shared" si="10"/>
        <v>3</v>
      </c>
      <c r="D201" s="2">
        <v>45381.575993229169</v>
      </c>
      <c r="E201" s="4">
        <f t="shared" si="11"/>
        <v>13</v>
      </c>
      <c r="F201" t="s">
        <v>21</v>
      </c>
      <c r="H201" s="3">
        <v>40</v>
      </c>
      <c r="I201" t="s">
        <v>43</v>
      </c>
    </row>
    <row r="202" spans="1:9" x14ac:dyDescent="0.3">
      <c r="A202" s="1">
        <v>45381</v>
      </c>
      <c r="B202" s="4">
        <f t="shared" si="9"/>
        <v>2024</v>
      </c>
      <c r="C202" s="4">
        <f t="shared" si="10"/>
        <v>3</v>
      </c>
      <c r="D202" s="2">
        <v>45381.67536789352</v>
      </c>
      <c r="E202" s="4">
        <f t="shared" si="11"/>
        <v>16</v>
      </c>
      <c r="F202" t="s">
        <v>3</v>
      </c>
      <c r="G202" t="s">
        <v>29</v>
      </c>
      <c r="H202" s="3">
        <v>38.700000000000003</v>
      </c>
      <c r="I202" t="s">
        <v>7</v>
      </c>
    </row>
    <row r="203" spans="1:9" x14ac:dyDescent="0.3">
      <c r="A203" s="1">
        <v>45381</v>
      </c>
      <c r="B203" s="4">
        <f t="shared" si="9"/>
        <v>2024</v>
      </c>
      <c r="C203" s="4">
        <f t="shared" si="10"/>
        <v>3</v>
      </c>
      <c r="D203" s="2">
        <v>45381.692135567129</v>
      </c>
      <c r="E203" s="4">
        <f t="shared" si="11"/>
        <v>16</v>
      </c>
      <c r="F203" t="s">
        <v>3</v>
      </c>
      <c r="G203" t="s">
        <v>19</v>
      </c>
      <c r="H203" s="3">
        <v>38.700000000000003</v>
      </c>
      <c r="I203" t="s">
        <v>7</v>
      </c>
    </row>
    <row r="204" spans="1:9" x14ac:dyDescent="0.3">
      <c r="A204" s="1">
        <v>45381</v>
      </c>
      <c r="B204" s="4">
        <f t="shared" si="9"/>
        <v>2024</v>
      </c>
      <c r="C204" s="4">
        <f t="shared" si="10"/>
        <v>3</v>
      </c>
      <c r="D204" s="2">
        <v>45381.6930272338</v>
      </c>
      <c r="E204" s="4">
        <f t="shared" si="11"/>
        <v>16</v>
      </c>
      <c r="F204" t="s">
        <v>3</v>
      </c>
      <c r="G204" t="s">
        <v>19</v>
      </c>
      <c r="H204" s="3">
        <v>33.799999999999997</v>
      </c>
      <c r="I204" t="s">
        <v>14</v>
      </c>
    </row>
    <row r="205" spans="1:9" x14ac:dyDescent="0.3">
      <c r="A205" s="1">
        <v>45382</v>
      </c>
      <c r="B205" s="4">
        <f t="shared" si="9"/>
        <v>2024</v>
      </c>
      <c r="C205" s="4">
        <f t="shared" si="10"/>
        <v>3</v>
      </c>
      <c r="D205" s="2">
        <v>45382.444496793978</v>
      </c>
      <c r="E205" s="4">
        <f t="shared" si="11"/>
        <v>10</v>
      </c>
      <c r="F205" t="s">
        <v>3</v>
      </c>
      <c r="G205" t="s">
        <v>103</v>
      </c>
      <c r="H205" s="3">
        <v>38.700000000000003</v>
      </c>
      <c r="I205" t="s">
        <v>43</v>
      </c>
    </row>
    <row r="206" spans="1:9" hidden="1" x14ac:dyDescent="0.3">
      <c r="A206" s="1">
        <v>45382</v>
      </c>
      <c r="B206" s="4">
        <f t="shared" si="9"/>
        <v>2024</v>
      </c>
      <c r="C206" s="4">
        <f t="shared" si="10"/>
        <v>3</v>
      </c>
      <c r="D206" s="2">
        <v>45382.817187499997</v>
      </c>
      <c r="E206" s="4">
        <f t="shared" si="11"/>
        <v>19</v>
      </c>
      <c r="F206" t="s">
        <v>21</v>
      </c>
      <c r="H206" s="3">
        <v>30</v>
      </c>
      <c r="I206" t="s">
        <v>11</v>
      </c>
    </row>
    <row r="207" spans="1:9" x14ac:dyDescent="0.3">
      <c r="A207" s="1">
        <v>45383</v>
      </c>
      <c r="B207" s="4">
        <f t="shared" si="9"/>
        <v>2024</v>
      </c>
      <c r="C207" s="4">
        <f t="shared" si="10"/>
        <v>4</v>
      </c>
      <c r="D207" s="2">
        <v>45383.436662048611</v>
      </c>
      <c r="E207" s="4">
        <f t="shared" si="11"/>
        <v>10</v>
      </c>
      <c r="F207" t="s">
        <v>3</v>
      </c>
      <c r="G207" t="s">
        <v>12</v>
      </c>
      <c r="H207" s="3">
        <v>28.9</v>
      </c>
      <c r="I207" t="s">
        <v>11</v>
      </c>
    </row>
    <row r="208" spans="1:9" x14ac:dyDescent="0.3">
      <c r="A208" s="1">
        <v>45383</v>
      </c>
      <c r="B208" s="4">
        <f t="shared" si="9"/>
        <v>2024</v>
      </c>
      <c r="C208" s="4">
        <f t="shared" si="10"/>
        <v>4</v>
      </c>
      <c r="D208" s="2">
        <v>45383.437295347219</v>
      </c>
      <c r="E208" s="4">
        <f t="shared" si="11"/>
        <v>10</v>
      </c>
      <c r="F208" t="s">
        <v>3</v>
      </c>
      <c r="G208" t="s">
        <v>12</v>
      </c>
      <c r="H208" s="3">
        <v>33.799999999999997</v>
      </c>
      <c r="I208" t="s">
        <v>14</v>
      </c>
    </row>
    <row r="209" spans="1:9" x14ac:dyDescent="0.3">
      <c r="A209" s="1">
        <v>45383</v>
      </c>
      <c r="B209" s="4">
        <f t="shared" si="9"/>
        <v>2024</v>
      </c>
      <c r="C209" s="4">
        <f t="shared" si="10"/>
        <v>4</v>
      </c>
      <c r="D209" s="2">
        <v>45383.438006192133</v>
      </c>
      <c r="E209" s="4">
        <f t="shared" si="11"/>
        <v>10</v>
      </c>
      <c r="F209" t="s">
        <v>3</v>
      </c>
      <c r="G209" t="s">
        <v>12</v>
      </c>
      <c r="H209" s="3">
        <v>33.799999999999997</v>
      </c>
      <c r="I209" t="s">
        <v>14</v>
      </c>
    </row>
    <row r="210" spans="1:9" x14ac:dyDescent="0.3">
      <c r="A210" s="1">
        <v>45383</v>
      </c>
      <c r="B210" s="4">
        <f t="shared" si="9"/>
        <v>2024</v>
      </c>
      <c r="C210" s="4">
        <f t="shared" si="10"/>
        <v>4</v>
      </c>
      <c r="D210" s="2">
        <v>45383.46925736111</v>
      </c>
      <c r="E210" s="4">
        <f t="shared" si="11"/>
        <v>11</v>
      </c>
      <c r="F210" t="s">
        <v>3</v>
      </c>
      <c r="G210" t="s">
        <v>19</v>
      </c>
      <c r="H210" s="3">
        <v>33.799999999999997</v>
      </c>
      <c r="I210" t="s">
        <v>14</v>
      </c>
    </row>
    <row r="211" spans="1:9" hidden="1" x14ac:dyDescent="0.3">
      <c r="A211" s="1">
        <v>45383</v>
      </c>
      <c r="B211" s="4">
        <f t="shared" si="9"/>
        <v>2024</v>
      </c>
      <c r="C211" s="4">
        <f t="shared" si="10"/>
        <v>4</v>
      </c>
      <c r="D211" s="2">
        <v>45383.709524583333</v>
      </c>
      <c r="E211" s="4">
        <f t="shared" si="11"/>
        <v>17</v>
      </c>
      <c r="F211" t="s">
        <v>21</v>
      </c>
      <c r="H211" s="3">
        <v>40</v>
      </c>
      <c r="I211" t="s">
        <v>43</v>
      </c>
    </row>
    <row r="212" spans="1:9" x14ac:dyDescent="0.3">
      <c r="A212" s="1">
        <v>45383</v>
      </c>
      <c r="B212" s="4">
        <f t="shared" si="9"/>
        <v>2024</v>
      </c>
      <c r="C212" s="4">
        <f t="shared" si="10"/>
        <v>4</v>
      </c>
      <c r="D212" s="2">
        <v>45383.762990416668</v>
      </c>
      <c r="E212" s="4">
        <f t="shared" si="11"/>
        <v>18</v>
      </c>
      <c r="F212" t="s">
        <v>3</v>
      </c>
      <c r="G212" t="s">
        <v>37</v>
      </c>
      <c r="H212" s="3">
        <v>33.799999999999997</v>
      </c>
      <c r="I212" t="s">
        <v>14</v>
      </c>
    </row>
    <row r="213" spans="1:9" x14ac:dyDescent="0.3">
      <c r="A213" s="1">
        <v>45383</v>
      </c>
      <c r="B213" s="4">
        <f t="shared" si="9"/>
        <v>2024</v>
      </c>
      <c r="C213" s="4">
        <f t="shared" si="10"/>
        <v>4</v>
      </c>
      <c r="D213" s="2">
        <v>45383.781567546299</v>
      </c>
      <c r="E213" s="4">
        <f t="shared" si="11"/>
        <v>18</v>
      </c>
      <c r="F213" t="s">
        <v>3</v>
      </c>
      <c r="G213" t="s">
        <v>104</v>
      </c>
      <c r="H213" s="3">
        <v>38.700000000000003</v>
      </c>
      <c r="I213" t="s">
        <v>9</v>
      </c>
    </row>
    <row r="214" spans="1:9" x14ac:dyDescent="0.3">
      <c r="A214" s="1">
        <v>45384</v>
      </c>
      <c r="B214" s="4">
        <f t="shared" si="9"/>
        <v>2024</v>
      </c>
      <c r="C214" s="4">
        <f t="shared" si="10"/>
        <v>4</v>
      </c>
      <c r="D214" s="2">
        <v>45384.417523402779</v>
      </c>
      <c r="E214" s="4">
        <f t="shared" si="11"/>
        <v>10</v>
      </c>
      <c r="F214" t="s">
        <v>3</v>
      </c>
      <c r="G214" t="s">
        <v>6</v>
      </c>
      <c r="H214" s="3">
        <v>38.700000000000003</v>
      </c>
      <c r="I214" t="s">
        <v>7</v>
      </c>
    </row>
    <row r="215" spans="1:9" x14ac:dyDescent="0.3">
      <c r="A215" s="1">
        <v>45384</v>
      </c>
      <c r="B215" s="4">
        <f t="shared" si="9"/>
        <v>2024</v>
      </c>
      <c r="C215" s="4">
        <f t="shared" si="10"/>
        <v>4</v>
      </c>
      <c r="D215" s="2">
        <v>45384.679562141202</v>
      </c>
      <c r="E215" s="4">
        <f t="shared" si="11"/>
        <v>16</v>
      </c>
      <c r="F215" t="s">
        <v>3</v>
      </c>
      <c r="G215" t="s">
        <v>10</v>
      </c>
      <c r="H215" s="3">
        <v>28.9</v>
      </c>
      <c r="I215" t="s">
        <v>11</v>
      </c>
    </row>
    <row r="216" spans="1:9" x14ac:dyDescent="0.3">
      <c r="A216" s="1">
        <v>45384</v>
      </c>
      <c r="B216" s="4">
        <f t="shared" si="9"/>
        <v>2024</v>
      </c>
      <c r="C216" s="4">
        <f t="shared" si="10"/>
        <v>4</v>
      </c>
      <c r="D216" s="2">
        <v>45384.680190509258</v>
      </c>
      <c r="E216" s="4">
        <f t="shared" si="11"/>
        <v>16</v>
      </c>
      <c r="F216" t="s">
        <v>3</v>
      </c>
      <c r="G216" t="s">
        <v>10</v>
      </c>
      <c r="H216" s="3">
        <v>28.9</v>
      </c>
      <c r="I216" t="s">
        <v>28</v>
      </c>
    </row>
    <row r="217" spans="1:9" hidden="1" x14ac:dyDescent="0.3">
      <c r="A217" s="1">
        <v>45384</v>
      </c>
      <c r="B217" s="4">
        <f t="shared" si="9"/>
        <v>2024</v>
      </c>
      <c r="C217" s="4">
        <f t="shared" si="10"/>
        <v>4</v>
      </c>
      <c r="D217" s="2">
        <v>45384.833008587964</v>
      </c>
      <c r="E217" s="4">
        <f t="shared" si="11"/>
        <v>19</v>
      </c>
      <c r="F217" t="s">
        <v>21</v>
      </c>
      <c r="H217" s="3">
        <v>40</v>
      </c>
      <c r="I217" t="s">
        <v>43</v>
      </c>
    </row>
    <row r="218" spans="1:9" x14ac:dyDescent="0.3">
      <c r="A218" s="1">
        <v>45385</v>
      </c>
      <c r="B218" s="4">
        <f t="shared" si="9"/>
        <v>2024</v>
      </c>
      <c r="C218" s="4">
        <f t="shared" si="10"/>
        <v>4</v>
      </c>
      <c r="D218" s="2">
        <v>45385.430019027779</v>
      </c>
      <c r="E218" s="4">
        <f t="shared" si="11"/>
        <v>10</v>
      </c>
      <c r="F218" t="s">
        <v>3</v>
      </c>
      <c r="G218" t="s">
        <v>10</v>
      </c>
      <c r="H218" s="3">
        <v>28.9</v>
      </c>
      <c r="I218" t="s">
        <v>28</v>
      </c>
    </row>
    <row r="219" spans="1:9" x14ac:dyDescent="0.3">
      <c r="A219" s="1">
        <v>45385</v>
      </c>
      <c r="B219" s="4">
        <f t="shared" si="9"/>
        <v>2024</v>
      </c>
      <c r="C219" s="4">
        <f t="shared" si="10"/>
        <v>4</v>
      </c>
      <c r="D219" s="2">
        <v>45385.430644155094</v>
      </c>
      <c r="E219" s="4">
        <f t="shared" si="11"/>
        <v>10</v>
      </c>
      <c r="F219" t="s">
        <v>3</v>
      </c>
      <c r="G219" t="s">
        <v>10</v>
      </c>
      <c r="H219" s="3">
        <v>28.9</v>
      </c>
      <c r="I219" t="s">
        <v>11</v>
      </c>
    </row>
    <row r="220" spans="1:9" x14ac:dyDescent="0.3">
      <c r="A220" s="1">
        <v>45385</v>
      </c>
      <c r="B220" s="4">
        <f t="shared" si="9"/>
        <v>2024</v>
      </c>
      <c r="C220" s="4">
        <f t="shared" si="10"/>
        <v>4</v>
      </c>
      <c r="D220" s="2">
        <v>45385.550062118054</v>
      </c>
      <c r="E220" s="4">
        <f t="shared" si="11"/>
        <v>13</v>
      </c>
      <c r="F220" t="s">
        <v>3</v>
      </c>
      <c r="G220" t="s">
        <v>23</v>
      </c>
      <c r="H220" s="3">
        <v>38.700000000000003</v>
      </c>
      <c r="I220" t="s">
        <v>43</v>
      </c>
    </row>
    <row r="221" spans="1:9" hidden="1" x14ac:dyDescent="0.3">
      <c r="A221" s="1">
        <v>45385</v>
      </c>
      <c r="B221" s="4">
        <f t="shared" si="9"/>
        <v>2024</v>
      </c>
      <c r="C221" s="4">
        <f t="shared" si="10"/>
        <v>4</v>
      </c>
      <c r="D221" s="2">
        <v>45385.650135821757</v>
      </c>
      <c r="E221" s="4">
        <f t="shared" si="11"/>
        <v>15</v>
      </c>
      <c r="F221" t="s">
        <v>21</v>
      </c>
      <c r="H221" s="3">
        <v>30</v>
      </c>
      <c r="I221" t="s">
        <v>28</v>
      </c>
    </row>
    <row r="222" spans="1:9" x14ac:dyDescent="0.3">
      <c r="A222" s="1">
        <v>45386</v>
      </c>
      <c r="B222" s="4">
        <f t="shared" si="9"/>
        <v>2024</v>
      </c>
      <c r="C222" s="4">
        <f t="shared" si="10"/>
        <v>4</v>
      </c>
      <c r="D222" s="2">
        <v>45386.447870231481</v>
      </c>
      <c r="E222" s="4">
        <f t="shared" si="11"/>
        <v>10</v>
      </c>
      <c r="F222" t="s">
        <v>3</v>
      </c>
      <c r="G222" t="s">
        <v>105</v>
      </c>
      <c r="H222" s="3">
        <v>38.700000000000003</v>
      </c>
      <c r="I222" t="s">
        <v>7</v>
      </c>
    </row>
    <row r="223" spans="1:9" x14ac:dyDescent="0.3">
      <c r="A223" s="1">
        <v>45386</v>
      </c>
      <c r="B223" s="4">
        <f t="shared" si="9"/>
        <v>2024</v>
      </c>
      <c r="C223" s="4">
        <f t="shared" si="10"/>
        <v>4</v>
      </c>
      <c r="D223" s="2">
        <v>45386.476829687497</v>
      </c>
      <c r="E223" s="4">
        <f t="shared" si="11"/>
        <v>11</v>
      </c>
      <c r="F223" t="s">
        <v>3</v>
      </c>
      <c r="G223" t="s">
        <v>106</v>
      </c>
      <c r="H223" s="3">
        <v>38.700000000000003</v>
      </c>
      <c r="I223" t="s">
        <v>7</v>
      </c>
    </row>
    <row r="224" spans="1:9" x14ac:dyDescent="0.3">
      <c r="A224" s="1">
        <v>45386</v>
      </c>
      <c r="B224" s="4">
        <f t="shared" si="9"/>
        <v>2024</v>
      </c>
      <c r="C224" s="4">
        <f t="shared" si="10"/>
        <v>4</v>
      </c>
      <c r="D224" s="2">
        <v>45386.477643645834</v>
      </c>
      <c r="E224" s="4">
        <f t="shared" si="11"/>
        <v>11</v>
      </c>
      <c r="F224" t="s">
        <v>3</v>
      </c>
      <c r="G224" t="s">
        <v>107</v>
      </c>
      <c r="H224" s="3">
        <v>38.700000000000003</v>
      </c>
      <c r="I224" t="s">
        <v>43</v>
      </c>
    </row>
    <row r="225" spans="1:9" x14ac:dyDescent="0.3">
      <c r="A225" s="1">
        <v>45386</v>
      </c>
      <c r="B225" s="4">
        <f t="shared" si="9"/>
        <v>2024</v>
      </c>
      <c r="C225" s="4">
        <f t="shared" si="10"/>
        <v>4</v>
      </c>
      <c r="D225" s="2">
        <v>45386.515997870367</v>
      </c>
      <c r="E225" s="4">
        <f t="shared" si="11"/>
        <v>12</v>
      </c>
      <c r="F225" t="s">
        <v>3</v>
      </c>
      <c r="G225" t="s">
        <v>108</v>
      </c>
      <c r="H225" s="3">
        <v>28.9</v>
      </c>
      <c r="I225" t="s">
        <v>28</v>
      </c>
    </row>
    <row r="226" spans="1:9" hidden="1" x14ac:dyDescent="0.3">
      <c r="A226" s="1">
        <v>45386</v>
      </c>
      <c r="B226" s="4">
        <f t="shared" si="9"/>
        <v>2024</v>
      </c>
      <c r="C226" s="4">
        <f t="shared" si="10"/>
        <v>4</v>
      </c>
      <c r="D226" s="2">
        <v>45386.820922916668</v>
      </c>
      <c r="E226" s="4">
        <f t="shared" si="11"/>
        <v>19</v>
      </c>
      <c r="F226" t="s">
        <v>21</v>
      </c>
      <c r="H226" s="3">
        <v>40</v>
      </c>
      <c r="I226" t="s">
        <v>7</v>
      </c>
    </row>
    <row r="227" spans="1:9" x14ac:dyDescent="0.3">
      <c r="A227" s="1">
        <v>45387</v>
      </c>
      <c r="B227" s="4">
        <f t="shared" si="9"/>
        <v>2024</v>
      </c>
      <c r="C227" s="4">
        <f t="shared" si="10"/>
        <v>4</v>
      </c>
      <c r="D227" s="2">
        <v>45387.444938981484</v>
      </c>
      <c r="E227" s="4">
        <f t="shared" si="11"/>
        <v>10</v>
      </c>
      <c r="F227" t="s">
        <v>3</v>
      </c>
      <c r="G227" t="s">
        <v>109</v>
      </c>
      <c r="H227" s="3">
        <v>28.9</v>
      </c>
      <c r="I227" t="s">
        <v>11</v>
      </c>
    </row>
    <row r="228" spans="1:9" x14ac:dyDescent="0.3">
      <c r="A228" s="1">
        <v>45387</v>
      </c>
      <c r="B228" s="4">
        <f t="shared" si="9"/>
        <v>2024</v>
      </c>
      <c r="C228" s="4">
        <f t="shared" si="10"/>
        <v>4</v>
      </c>
      <c r="D228" s="2">
        <v>45387.445905138891</v>
      </c>
      <c r="E228" s="4">
        <f t="shared" si="11"/>
        <v>10</v>
      </c>
      <c r="F228" t="s">
        <v>3</v>
      </c>
      <c r="G228" t="s">
        <v>23</v>
      </c>
      <c r="H228" s="3">
        <v>28.9</v>
      </c>
      <c r="I228" t="s">
        <v>11</v>
      </c>
    </row>
    <row r="229" spans="1:9" x14ac:dyDescent="0.3">
      <c r="A229" s="1">
        <v>45387</v>
      </c>
      <c r="B229" s="4">
        <f t="shared" si="9"/>
        <v>2024</v>
      </c>
      <c r="C229" s="4">
        <f t="shared" si="10"/>
        <v>4</v>
      </c>
      <c r="D229" s="2">
        <v>45387.462669479166</v>
      </c>
      <c r="E229" s="4">
        <f t="shared" si="11"/>
        <v>11</v>
      </c>
      <c r="F229" t="s">
        <v>3</v>
      </c>
      <c r="G229" t="s">
        <v>110</v>
      </c>
      <c r="H229" s="3">
        <v>28.9</v>
      </c>
      <c r="I229" t="s">
        <v>28</v>
      </c>
    </row>
    <row r="230" spans="1:9" x14ac:dyDescent="0.3">
      <c r="A230" s="1">
        <v>45387</v>
      </c>
      <c r="B230" s="4">
        <f t="shared" si="9"/>
        <v>2024</v>
      </c>
      <c r="C230" s="4">
        <f t="shared" si="10"/>
        <v>4</v>
      </c>
      <c r="D230" s="2">
        <v>45387.510046006944</v>
      </c>
      <c r="E230" s="4">
        <f t="shared" si="11"/>
        <v>12</v>
      </c>
      <c r="F230" t="s">
        <v>3</v>
      </c>
      <c r="G230" t="s">
        <v>111</v>
      </c>
      <c r="H230" s="3">
        <v>33.799999999999997</v>
      </c>
      <c r="I230" t="s">
        <v>14</v>
      </c>
    </row>
    <row r="231" spans="1:9" x14ac:dyDescent="0.3">
      <c r="A231" s="1">
        <v>45387</v>
      </c>
      <c r="B231" s="4">
        <f t="shared" si="9"/>
        <v>2024</v>
      </c>
      <c r="C231" s="4">
        <f t="shared" si="10"/>
        <v>4</v>
      </c>
      <c r="D231" s="2">
        <v>45387.599772997688</v>
      </c>
      <c r="E231" s="4">
        <f t="shared" si="11"/>
        <v>14</v>
      </c>
      <c r="F231" t="s">
        <v>3</v>
      </c>
      <c r="G231" t="s">
        <v>112</v>
      </c>
      <c r="H231" s="3">
        <v>38.700000000000003</v>
      </c>
      <c r="I231" t="s">
        <v>7</v>
      </c>
    </row>
    <row r="232" spans="1:9" x14ac:dyDescent="0.3">
      <c r="A232" s="1">
        <v>45387</v>
      </c>
      <c r="B232" s="4">
        <f t="shared" si="9"/>
        <v>2024</v>
      </c>
      <c r="C232" s="4">
        <f t="shared" si="10"/>
        <v>4</v>
      </c>
      <c r="D232" s="2">
        <v>45387.600583530089</v>
      </c>
      <c r="E232" s="4">
        <f t="shared" si="11"/>
        <v>14</v>
      </c>
      <c r="F232" t="s">
        <v>3</v>
      </c>
      <c r="G232" t="s">
        <v>112</v>
      </c>
      <c r="H232" s="3">
        <v>28.9</v>
      </c>
      <c r="I232" t="s">
        <v>28</v>
      </c>
    </row>
    <row r="233" spans="1:9" hidden="1" x14ac:dyDescent="0.3">
      <c r="A233" s="1">
        <v>45387</v>
      </c>
      <c r="B233" s="4">
        <f t="shared" si="9"/>
        <v>2024</v>
      </c>
      <c r="C233" s="4">
        <f t="shared" si="10"/>
        <v>4</v>
      </c>
      <c r="D233" s="2">
        <v>45387.646416469906</v>
      </c>
      <c r="E233" s="4">
        <f t="shared" si="11"/>
        <v>15</v>
      </c>
      <c r="F233" t="s">
        <v>21</v>
      </c>
      <c r="H233" s="3">
        <v>40</v>
      </c>
      <c r="I233" t="s">
        <v>7</v>
      </c>
    </row>
    <row r="234" spans="1:9" hidden="1" x14ac:dyDescent="0.3">
      <c r="A234" s="1">
        <v>45387</v>
      </c>
      <c r="B234" s="4">
        <f t="shared" si="9"/>
        <v>2024</v>
      </c>
      <c r="C234" s="4">
        <f t="shared" si="10"/>
        <v>4</v>
      </c>
      <c r="D234" s="2">
        <v>45387.662682499998</v>
      </c>
      <c r="E234" s="4">
        <f t="shared" si="11"/>
        <v>15</v>
      </c>
      <c r="F234" t="s">
        <v>21</v>
      </c>
      <c r="H234" s="3">
        <v>40</v>
      </c>
      <c r="I234" t="s">
        <v>43</v>
      </c>
    </row>
    <row r="235" spans="1:9" hidden="1" x14ac:dyDescent="0.3">
      <c r="A235" s="1">
        <v>45387</v>
      </c>
      <c r="B235" s="4">
        <f t="shared" si="9"/>
        <v>2024</v>
      </c>
      <c r="C235" s="4">
        <f t="shared" si="10"/>
        <v>4</v>
      </c>
      <c r="D235" s="2">
        <v>45387.663552627317</v>
      </c>
      <c r="E235" s="4">
        <f t="shared" si="11"/>
        <v>15</v>
      </c>
      <c r="F235" t="s">
        <v>21</v>
      </c>
      <c r="H235" s="3">
        <v>30</v>
      </c>
      <c r="I235" t="s">
        <v>11</v>
      </c>
    </row>
    <row r="236" spans="1:9" hidden="1" x14ac:dyDescent="0.3">
      <c r="A236" s="1">
        <v>45387</v>
      </c>
      <c r="B236" s="4">
        <f t="shared" si="9"/>
        <v>2024</v>
      </c>
      <c r="C236" s="4">
        <f t="shared" si="10"/>
        <v>4</v>
      </c>
      <c r="D236" s="2">
        <v>45387.678981192126</v>
      </c>
      <c r="E236" s="4">
        <f t="shared" si="11"/>
        <v>16</v>
      </c>
      <c r="F236" t="s">
        <v>21</v>
      </c>
      <c r="H236" s="3">
        <v>40</v>
      </c>
      <c r="I236" t="s">
        <v>18</v>
      </c>
    </row>
    <row r="237" spans="1:9" x14ac:dyDescent="0.3">
      <c r="A237" s="1">
        <v>45387</v>
      </c>
      <c r="B237" s="4">
        <f t="shared" si="9"/>
        <v>2024</v>
      </c>
      <c r="C237" s="4">
        <f t="shared" si="10"/>
        <v>4</v>
      </c>
      <c r="D237" s="2">
        <v>45387.679439328705</v>
      </c>
      <c r="E237" s="4">
        <f t="shared" si="11"/>
        <v>16</v>
      </c>
      <c r="F237" t="s">
        <v>3</v>
      </c>
      <c r="G237" t="s">
        <v>10</v>
      </c>
      <c r="H237" s="3">
        <v>24</v>
      </c>
      <c r="I237" t="s">
        <v>35</v>
      </c>
    </row>
    <row r="238" spans="1:9" x14ac:dyDescent="0.3">
      <c r="A238" s="1">
        <v>45388</v>
      </c>
      <c r="B238" s="4">
        <f t="shared" si="9"/>
        <v>2024</v>
      </c>
      <c r="C238" s="4">
        <f t="shared" si="10"/>
        <v>4</v>
      </c>
      <c r="D238" s="2">
        <v>45388.522585625004</v>
      </c>
      <c r="E238" s="4">
        <f t="shared" si="11"/>
        <v>12</v>
      </c>
      <c r="F238" t="s">
        <v>3</v>
      </c>
      <c r="G238" t="s">
        <v>113</v>
      </c>
      <c r="H238" s="3">
        <v>33.799999999999997</v>
      </c>
      <c r="I238" t="s">
        <v>14</v>
      </c>
    </row>
    <row r="239" spans="1:9" x14ac:dyDescent="0.3">
      <c r="A239" s="1">
        <v>45388</v>
      </c>
      <c r="B239" s="4">
        <f t="shared" si="9"/>
        <v>2024</v>
      </c>
      <c r="C239" s="4">
        <f t="shared" si="10"/>
        <v>4</v>
      </c>
      <c r="D239" s="2">
        <v>45388.592577928241</v>
      </c>
      <c r="E239" s="4">
        <f t="shared" si="11"/>
        <v>14</v>
      </c>
      <c r="F239" t="s">
        <v>3</v>
      </c>
      <c r="G239" t="s">
        <v>54</v>
      </c>
      <c r="H239" s="3">
        <v>38.700000000000003</v>
      </c>
      <c r="I239" t="s">
        <v>43</v>
      </c>
    </row>
    <row r="240" spans="1:9" x14ac:dyDescent="0.3">
      <c r="A240" s="1">
        <v>45388</v>
      </c>
      <c r="B240" s="4">
        <f t="shared" si="9"/>
        <v>2024</v>
      </c>
      <c r="C240" s="4">
        <f t="shared" si="10"/>
        <v>4</v>
      </c>
      <c r="D240" s="2">
        <v>45388.593368391201</v>
      </c>
      <c r="E240" s="4">
        <f t="shared" si="11"/>
        <v>14</v>
      </c>
      <c r="F240" t="s">
        <v>3</v>
      </c>
      <c r="G240" t="s">
        <v>54</v>
      </c>
      <c r="H240" s="3">
        <v>28.9</v>
      </c>
      <c r="I240" t="s">
        <v>11</v>
      </c>
    </row>
    <row r="241" spans="1:9" x14ac:dyDescent="0.3">
      <c r="A241" s="1">
        <v>45388</v>
      </c>
      <c r="B241" s="4">
        <f t="shared" si="9"/>
        <v>2024</v>
      </c>
      <c r="C241" s="4">
        <f t="shared" si="10"/>
        <v>4</v>
      </c>
      <c r="D241" s="2">
        <v>45388.617941932869</v>
      </c>
      <c r="E241" s="4">
        <f t="shared" si="11"/>
        <v>14</v>
      </c>
      <c r="F241" t="s">
        <v>3</v>
      </c>
      <c r="G241" t="s">
        <v>19</v>
      </c>
      <c r="H241" s="3">
        <v>38.700000000000003</v>
      </c>
      <c r="I241" t="s">
        <v>7</v>
      </c>
    </row>
    <row r="242" spans="1:9" x14ac:dyDescent="0.3">
      <c r="A242" s="1">
        <v>45389</v>
      </c>
      <c r="B242" s="4">
        <f t="shared" si="9"/>
        <v>2024</v>
      </c>
      <c r="C242" s="4">
        <f t="shared" si="10"/>
        <v>4</v>
      </c>
      <c r="D242" s="2">
        <v>45389.42561578704</v>
      </c>
      <c r="E242" s="4">
        <f t="shared" si="11"/>
        <v>10</v>
      </c>
      <c r="F242" t="s">
        <v>3</v>
      </c>
      <c r="G242" t="s">
        <v>105</v>
      </c>
      <c r="H242" s="3">
        <v>38.700000000000003</v>
      </c>
      <c r="I242" t="s">
        <v>7</v>
      </c>
    </row>
    <row r="243" spans="1:9" x14ac:dyDescent="0.3">
      <c r="A243" s="1">
        <v>45389</v>
      </c>
      <c r="B243" s="4">
        <f t="shared" si="9"/>
        <v>2024</v>
      </c>
      <c r="C243" s="4">
        <f t="shared" si="10"/>
        <v>4</v>
      </c>
      <c r="D243" s="2">
        <v>45389.530925185187</v>
      </c>
      <c r="E243" s="4">
        <f t="shared" si="11"/>
        <v>12</v>
      </c>
      <c r="F243" t="s">
        <v>3</v>
      </c>
      <c r="G243" t="s">
        <v>54</v>
      </c>
      <c r="H243" s="3">
        <v>38.700000000000003</v>
      </c>
      <c r="I243" t="s">
        <v>43</v>
      </c>
    </row>
    <row r="244" spans="1:9" x14ac:dyDescent="0.3">
      <c r="A244" s="1">
        <v>45389</v>
      </c>
      <c r="B244" s="4">
        <f t="shared" si="9"/>
        <v>2024</v>
      </c>
      <c r="C244" s="4">
        <f t="shared" si="10"/>
        <v>4</v>
      </c>
      <c r="D244" s="2">
        <v>45389.532003680557</v>
      </c>
      <c r="E244" s="4">
        <f t="shared" si="11"/>
        <v>12</v>
      </c>
      <c r="F244" t="s">
        <v>3</v>
      </c>
      <c r="G244" t="s">
        <v>54</v>
      </c>
      <c r="H244" s="3">
        <v>38.700000000000003</v>
      </c>
      <c r="I244" t="s">
        <v>43</v>
      </c>
    </row>
    <row r="245" spans="1:9" x14ac:dyDescent="0.3">
      <c r="A245" s="1">
        <v>45389</v>
      </c>
      <c r="B245" s="4">
        <f t="shared" si="9"/>
        <v>2024</v>
      </c>
      <c r="C245" s="4">
        <f t="shared" si="10"/>
        <v>4</v>
      </c>
      <c r="D245" s="2">
        <v>45389.594733206017</v>
      </c>
      <c r="E245" s="4">
        <f t="shared" si="11"/>
        <v>14</v>
      </c>
      <c r="F245" t="s">
        <v>3</v>
      </c>
      <c r="G245" t="s">
        <v>114</v>
      </c>
      <c r="H245" s="3">
        <v>28.9</v>
      </c>
      <c r="I245" t="s">
        <v>28</v>
      </c>
    </row>
    <row r="246" spans="1:9" x14ac:dyDescent="0.3">
      <c r="A246" s="1">
        <v>45389</v>
      </c>
      <c r="B246" s="4">
        <f t="shared" si="9"/>
        <v>2024</v>
      </c>
      <c r="C246" s="4">
        <f t="shared" si="10"/>
        <v>4</v>
      </c>
      <c r="D246" s="2">
        <v>45389.595493379631</v>
      </c>
      <c r="E246" s="4">
        <f t="shared" si="11"/>
        <v>14</v>
      </c>
      <c r="F246" t="s">
        <v>3</v>
      </c>
      <c r="G246" t="s">
        <v>114</v>
      </c>
      <c r="H246" s="3">
        <v>24</v>
      </c>
      <c r="I246" t="s">
        <v>35</v>
      </c>
    </row>
    <row r="247" spans="1:9" x14ac:dyDescent="0.3">
      <c r="A247" s="1">
        <v>45389</v>
      </c>
      <c r="B247" s="4">
        <f t="shared" si="9"/>
        <v>2024</v>
      </c>
      <c r="C247" s="4">
        <f t="shared" si="10"/>
        <v>4</v>
      </c>
      <c r="D247" s="2">
        <v>45389.750886666669</v>
      </c>
      <c r="E247" s="4">
        <f t="shared" si="11"/>
        <v>18</v>
      </c>
      <c r="F247" t="s">
        <v>3</v>
      </c>
      <c r="G247" t="s">
        <v>115</v>
      </c>
      <c r="H247" s="3">
        <v>38.700000000000003</v>
      </c>
      <c r="I247" t="s">
        <v>9</v>
      </c>
    </row>
    <row r="248" spans="1:9" x14ac:dyDescent="0.3">
      <c r="A248" s="1">
        <v>45389</v>
      </c>
      <c r="B248" s="4">
        <f t="shared" si="9"/>
        <v>2024</v>
      </c>
      <c r="C248" s="4">
        <f t="shared" si="10"/>
        <v>4</v>
      </c>
      <c r="D248" s="2">
        <v>45389.751433773148</v>
      </c>
      <c r="E248" s="4">
        <f t="shared" si="11"/>
        <v>18</v>
      </c>
      <c r="F248" t="s">
        <v>3</v>
      </c>
      <c r="G248" t="s">
        <v>115</v>
      </c>
      <c r="H248" s="3">
        <v>33.799999999999997</v>
      </c>
      <c r="I248" t="s">
        <v>14</v>
      </c>
    </row>
    <row r="249" spans="1:9" x14ac:dyDescent="0.3">
      <c r="A249" s="1">
        <v>45390</v>
      </c>
      <c r="B249" s="4">
        <f t="shared" si="9"/>
        <v>2024</v>
      </c>
      <c r="C249" s="4">
        <f t="shared" si="10"/>
        <v>4</v>
      </c>
      <c r="D249" s="2">
        <v>45390.457188726854</v>
      </c>
      <c r="E249" s="4">
        <f t="shared" si="11"/>
        <v>10</v>
      </c>
      <c r="F249" t="s">
        <v>3</v>
      </c>
      <c r="G249" t="s">
        <v>116</v>
      </c>
      <c r="H249" s="3">
        <v>33.799999999999997</v>
      </c>
      <c r="I249" t="s">
        <v>14</v>
      </c>
    </row>
    <row r="250" spans="1:9" x14ac:dyDescent="0.3">
      <c r="A250" s="1">
        <v>45390</v>
      </c>
      <c r="B250" s="4">
        <f t="shared" si="9"/>
        <v>2024</v>
      </c>
      <c r="C250" s="4">
        <f t="shared" si="10"/>
        <v>4</v>
      </c>
      <c r="D250" s="2">
        <v>45390.457957847226</v>
      </c>
      <c r="E250" s="4">
        <f t="shared" si="11"/>
        <v>10</v>
      </c>
      <c r="F250" t="s">
        <v>3</v>
      </c>
      <c r="G250" t="s">
        <v>117</v>
      </c>
      <c r="H250" s="3">
        <v>38.700000000000003</v>
      </c>
      <c r="I250" t="s">
        <v>43</v>
      </c>
    </row>
    <row r="251" spans="1:9" x14ac:dyDescent="0.3">
      <c r="A251" s="1">
        <v>45390</v>
      </c>
      <c r="B251" s="4">
        <f t="shared" si="9"/>
        <v>2024</v>
      </c>
      <c r="C251" s="4">
        <f t="shared" si="10"/>
        <v>4</v>
      </c>
      <c r="D251" s="2">
        <v>45390.45926462963</v>
      </c>
      <c r="E251" s="4">
        <f t="shared" si="11"/>
        <v>11</v>
      </c>
      <c r="F251" t="s">
        <v>3</v>
      </c>
      <c r="G251" t="s">
        <v>23</v>
      </c>
      <c r="H251" s="3">
        <v>28.9</v>
      </c>
      <c r="I251" t="s">
        <v>11</v>
      </c>
    </row>
    <row r="252" spans="1:9" x14ac:dyDescent="0.3">
      <c r="A252" s="1">
        <v>45390</v>
      </c>
      <c r="B252" s="4">
        <f t="shared" si="9"/>
        <v>2024</v>
      </c>
      <c r="C252" s="4">
        <f t="shared" si="10"/>
        <v>4</v>
      </c>
      <c r="D252" s="2">
        <v>45390.461655439816</v>
      </c>
      <c r="E252" s="4">
        <f t="shared" si="11"/>
        <v>11</v>
      </c>
      <c r="F252" t="s">
        <v>3</v>
      </c>
      <c r="G252" t="s">
        <v>118</v>
      </c>
      <c r="H252" s="3">
        <v>38.700000000000003</v>
      </c>
      <c r="I252" t="s">
        <v>43</v>
      </c>
    </row>
    <row r="253" spans="1:9" hidden="1" x14ac:dyDescent="0.3">
      <c r="A253" s="1">
        <v>45390</v>
      </c>
      <c r="B253" s="4">
        <f t="shared" si="9"/>
        <v>2024</v>
      </c>
      <c r="C253" s="4">
        <f t="shared" si="10"/>
        <v>4</v>
      </c>
      <c r="D253" s="2">
        <v>45390.537799733793</v>
      </c>
      <c r="E253" s="4">
        <f t="shared" si="11"/>
        <v>12</v>
      </c>
      <c r="F253" t="s">
        <v>21</v>
      </c>
      <c r="H253" s="3">
        <v>25</v>
      </c>
      <c r="I253" t="s">
        <v>35</v>
      </c>
    </row>
    <row r="254" spans="1:9" hidden="1" x14ac:dyDescent="0.3">
      <c r="A254" s="1">
        <v>45390</v>
      </c>
      <c r="B254" s="4">
        <f t="shared" si="9"/>
        <v>2024</v>
      </c>
      <c r="C254" s="4">
        <f t="shared" si="10"/>
        <v>4</v>
      </c>
      <c r="D254" s="2">
        <v>45390.655287974536</v>
      </c>
      <c r="E254" s="4">
        <f t="shared" si="11"/>
        <v>15</v>
      </c>
      <c r="F254" t="s">
        <v>21</v>
      </c>
      <c r="H254" s="3">
        <v>35</v>
      </c>
      <c r="I254" t="s">
        <v>14</v>
      </c>
    </row>
    <row r="255" spans="1:9" x14ac:dyDescent="0.3">
      <c r="A255" s="1">
        <v>45390</v>
      </c>
      <c r="B255" s="4">
        <f t="shared" si="9"/>
        <v>2024</v>
      </c>
      <c r="C255" s="4">
        <f t="shared" si="10"/>
        <v>4</v>
      </c>
      <c r="D255" s="2">
        <v>45390.695576458333</v>
      </c>
      <c r="E255" s="4">
        <f t="shared" si="11"/>
        <v>16</v>
      </c>
      <c r="F255" t="s">
        <v>3</v>
      </c>
      <c r="G255" t="s">
        <v>29</v>
      </c>
      <c r="H255" s="3">
        <v>38.700000000000003</v>
      </c>
      <c r="I255" t="s">
        <v>7</v>
      </c>
    </row>
    <row r="256" spans="1:9" x14ac:dyDescent="0.3">
      <c r="A256" s="1">
        <v>45390</v>
      </c>
      <c r="B256" s="4">
        <f t="shared" si="9"/>
        <v>2024</v>
      </c>
      <c r="C256" s="4">
        <f t="shared" si="10"/>
        <v>4</v>
      </c>
      <c r="D256" s="2">
        <v>45390.762612418985</v>
      </c>
      <c r="E256" s="4">
        <f t="shared" si="11"/>
        <v>18</v>
      </c>
      <c r="F256" t="s">
        <v>3</v>
      </c>
      <c r="G256" t="s">
        <v>119</v>
      </c>
      <c r="H256" s="3">
        <v>28.9</v>
      </c>
      <c r="I256" t="s">
        <v>11</v>
      </c>
    </row>
    <row r="257" spans="1:9" x14ac:dyDescent="0.3">
      <c r="A257" s="1">
        <v>45390</v>
      </c>
      <c r="B257" s="4">
        <f t="shared" ref="B257:B320" si="12">YEAR(A257)</f>
        <v>2024</v>
      </c>
      <c r="C257" s="4">
        <f t="shared" ref="C257:C320" si="13">MONTH(A257)</f>
        <v>4</v>
      </c>
      <c r="D257" s="2">
        <v>45390.807262465278</v>
      </c>
      <c r="E257" s="4">
        <f t="shared" ref="E257:E320" si="14">HOUR(D257)</f>
        <v>19</v>
      </c>
      <c r="F257" t="s">
        <v>3</v>
      </c>
      <c r="G257" t="s">
        <v>37</v>
      </c>
      <c r="H257" s="3">
        <v>33.799999999999997</v>
      </c>
      <c r="I257" t="s">
        <v>14</v>
      </c>
    </row>
    <row r="258" spans="1:9" x14ac:dyDescent="0.3">
      <c r="A258" s="1">
        <v>45390</v>
      </c>
      <c r="B258" s="4">
        <f t="shared" si="12"/>
        <v>2024</v>
      </c>
      <c r="C258" s="4">
        <f t="shared" si="13"/>
        <v>4</v>
      </c>
      <c r="D258" s="2">
        <v>45390.808324861115</v>
      </c>
      <c r="E258" s="4">
        <f t="shared" si="14"/>
        <v>19</v>
      </c>
      <c r="F258" t="s">
        <v>3</v>
      </c>
      <c r="G258" t="s">
        <v>120</v>
      </c>
      <c r="H258" s="3">
        <v>38.700000000000003</v>
      </c>
      <c r="I258" t="s">
        <v>43</v>
      </c>
    </row>
    <row r="259" spans="1:9" hidden="1" x14ac:dyDescent="0.3">
      <c r="A259" s="1">
        <v>45391</v>
      </c>
      <c r="B259" s="4">
        <f t="shared" si="12"/>
        <v>2024</v>
      </c>
      <c r="C259" s="4">
        <f t="shared" si="13"/>
        <v>4</v>
      </c>
      <c r="D259" s="2">
        <v>45391.432261099537</v>
      </c>
      <c r="E259" s="4">
        <f t="shared" si="14"/>
        <v>10</v>
      </c>
      <c r="F259" t="s">
        <v>21</v>
      </c>
      <c r="H259" s="3">
        <v>40</v>
      </c>
      <c r="I259" t="s">
        <v>43</v>
      </c>
    </row>
    <row r="260" spans="1:9" hidden="1" x14ac:dyDescent="0.3">
      <c r="A260" s="1">
        <v>45391</v>
      </c>
      <c r="B260" s="4">
        <f t="shared" si="12"/>
        <v>2024</v>
      </c>
      <c r="C260" s="4">
        <f t="shared" si="13"/>
        <v>4</v>
      </c>
      <c r="D260" s="2">
        <v>45391.433450266202</v>
      </c>
      <c r="E260" s="4">
        <f t="shared" si="14"/>
        <v>10</v>
      </c>
      <c r="F260" t="s">
        <v>21</v>
      </c>
      <c r="H260" s="3">
        <v>30</v>
      </c>
      <c r="I260" t="s">
        <v>11</v>
      </c>
    </row>
    <row r="261" spans="1:9" x14ac:dyDescent="0.3">
      <c r="A261" s="1">
        <v>45391</v>
      </c>
      <c r="B261" s="4">
        <f t="shared" si="12"/>
        <v>2024</v>
      </c>
      <c r="C261" s="4">
        <f t="shared" si="13"/>
        <v>4</v>
      </c>
      <c r="D261" s="2">
        <v>45391.487829490739</v>
      </c>
      <c r="E261" s="4">
        <f t="shared" si="14"/>
        <v>11</v>
      </c>
      <c r="F261" t="s">
        <v>3</v>
      </c>
      <c r="G261" t="s">
        <v>105</v>
      </c>
      <c r="H261" s="3">
        <v>38.700000000000003</v>
      </c>
      <c r="I261" t="s">
        <v>7</v>
      </c>
    </row>
    <row r="262" spans="1:9" x14ac:dyDescent="0.3">
      <c r="A262" s="1">
        <v>45391</v>
      </c>
      <c r="B262" s="4">
        <f t="shared" si="12"/>
        <v>2024</v>
      </c>
      <c r="C262" s="4">
        <f t="shared" si="13"/>
        <v>4</v>
      </c>
      <c r="D262" s="2">
        <v>45391.633202777775</v>
      </c>
      <c r="E262" s="4">
        <f t="shared" si="14"/>
        <v>15</v>
      </c>
      <c r="F262" t="s">
        <v>3</v>
      </c>
      <c r="G262" t="s">
        <v>121</v>
      </c>
      <c r="H262" s="3">
        <v>38.700000000000003</v>
      </c>
      <c r="I262" t="s">
        <v>9</v>
      </c>
    </row>
    <row r="263" spans="1:9" x14ac:dyDescent="0.3">
      <c r="A263" s="1">
        <v>45391</v>
      </c>
      <c r="B263" s="4">
        <f t="shared" si="12"/>
        <v>2024</v>
      </c>
      <c r="C263" s="4">
        <f t="shared" si="13"/>
        <v>4</v>
      </c>
      <c r="D263" s="2">
        <v>45391.725971481479</v>
      </c>
      <c r="E263" s="4">
        <f t="shared" si="14"/>
        <v>17</v>
      </c>
      <c r="F263" t="s">
        <v>3</v>
      </c>
      <c r="G263" t="s">
        <v>63</v>
      </c>
      <c r="H263" s="3">
        <v>38.700000000000003</v>
      </c>
      <c r="I263" t="s">
        <v>9</v>
      </c>
    </row>
    <row r="264" spans="1:9" hidden="1" x14ac:dyDescent="0.3">
      <c r="A264" s="1">
        <v>45392</v>
      </c>
      <c r="B264" s="4">
        <f t="shared" si="12"/>
        <v>2024</v>
      </c>
      <c r="C264" s="4">
        <f t="shared" si="13"/>
        <v>4</v>
      </c>
      <c r="D264" s="2">
        <v>45392.431552951391</v>
      </c>
      <c r="E264" s="4">
        <f t="shared" si="14"/>
        <v>10</v>
      </c>
      <c r="F264" t="s">
        <v>21</v>
      </c>
      <c r="H264" s="3">
        <v>25</v>
      </c>
      <c r="I264" t="s">
        <v>35</v>
      </c>
    </row>
    <row r="265" spans="1:9" hidden="1" x14ac:dyDescent="0.3">
      <c r="A265" s="1">
        <v>45392</v>
      </c>
      <c r="B265" s="4">
        <f t="shared" si="12"/>
        <v>2024</v>
      </c>
      <c r="C265" s="4">
        <f t="shared" si="13"/>
        <v>4</v>
      </c>
      <c r="D265" s="2">
        <v>45392.746609004629</v>
      </c>
      <c r="E265" s="4">
        <f t="shared" si="14"/>
        <v>17</v>
      </c>
      <c r="F265" t="s">
        <v>21</v>
      </c>
      <c r="H265" s="3">
        <v>40</v>
      </c>
      <c r="I265" t="s">
        <v>9</v>
      </c>
    </row>
    <row r="266" spans="1:9" x14ac:dyDescent="0.3">
      <c r="A266" s="1">
        <v>45392</v>
      </c>
      <c r="B266" s="4">
        <f t="shared" si="12"/>
        <v>2024</v>
      </c>
      <c r="C266" s="4">
        <f t="shared" si="13"/>
        <v>4</v>
      </c>
      <c r="D266" s="2">
        <v>45392.74688939815</v>
      </c>
      <c r="E266" s="4">
        <f t="shared" si="14"/>
        <v>17</v>
      </c>
      <c r="F266" t="s">
        <v>3</v>
      </c>
      <c r="G266" t="s">
        <v>122</v>
      </c>
      <c r="H266" s="3">
        <v>24</v>
      </c>
      <c r="I266" t="s">
        <v>35</v>
      </c>
    </row>
    <row r="267" spans="1:9" x14ac:dyDescent="0.3">
      <c r="A267" s="1">
        <v>45392</v>
      </c>
      <c r="B267" s="4">
        <f t="shared" si="12"/>
        <v>2024</v>
      </c>
      <c r="C267" s="4">
        <f t="shared" si="13"/>
        <v>4</v>
      </c>
      <c r="D267" s="2">
        <v>45392.767352893519</v>
      </c>
      <c r="E267" s="4">
        <f t="shared" si="14"/>
        <v>18</v>
      </c>
      <c r="F267" t="s">
        <v>3</v>
      </c>
      <c r="G267" t="s">
        <v>19</v>
      </c>
      <c r="H267" s="3">
        <v>38.700000000000003</v>
      </c>
      <c r="I267" t="s">
        <v>43</v>
      </c>
    </row>
    <row r="268" spans="1:9" x14ac:dyDescent="0.3">
      <c r="A268" s="1">
        <v>45392</v>
      </c>
      <c r="B268" s="4">
        <f t="shared" si="12"/>
        <v>2024</v>
      </c>
      <c r="C268" s="4">
        <f t="shared" si="13"/>
        <v>4</v>
      </c>
      <c r="D268" s="2">
        <v>45392.836173449075</v>
      </c>
      <c r="E268" s="4">
        <f t="shared" si="14"/>
        <v>20</v>
      </c>
      <c r="F268" t="s">
        <v>3</v>
      </c>
      <c r="G268" t="s">
        <v>123</v>
      </c>
      <c r="H268" s="3">
        <v>38.700000000000003</v>
      </c>
      <c r="I268" t="s">
        <v>7</v>
      </c>
    </row>
    <row r="269" spans="1:9" x14ac:dyDescent="0.3">
      <c r="A269" s="1">
        <v>45393</v>
      </c>
      <c r="B269" s="4">
        <f t="shared" si="12"/>
        <v>2024</v>
      </c>
      <c r="C269" s="4">
        <f t="shared" si="13"/>
        <v>4</v>
      </c>
      <c r="D269" s="2">
        <v>45393.445406886574</v>
      </c>
      <c r="E269" s="4">
        <f t="shared" si="14"/>
        <v>10</v>
      </c>
      <c r="F269" t="s">
        <v>3</v>
      </c>
      <c r="G269" t="s">
        <v>124</v>
      </c>
      <c r="H269" s="3">
        <v>28.9</v>
      </c>
      <c r="I269" t="s">
        <v>11</v>
      </c>
    </row>
    <row r="270" spans="1:9" x14ac:dyDescent="0.3">
      <c r="A270" s="1">
        <v>45393</v>
      </c>
      <c r="B270" s="4">
        <f t="shared" si="12"/>
        <v>2024</v>
      </c>
      <c r="C270" s="4">
        <f t="shared" si="13"/>
        <v>4</v>
      </c>
      <c r="D270" s="2">
        <v>45393.446520428239</v>
      </c>
      <c r="E270" s="4">
        <f t="shared" si="14"/>
        <v>10</v>
      </c>
      <c r="F270" t="s">
        <v>3</v>
      </c>
      <c r="G270" t="s">
        <v>124</v>
      </c>
      <c r="H270" s="3">
        <v>28.9</v>
      </c>
      <c r="I270" t="s">
        <v>11</v>
      </c>
    </row>
    <row r="271" spans="1:9" x14ac:dyDescent="0.3">
      <c r="A271" s="1">
        <v>45393</v>
      </c>
      <c r="B271" s="4">
        <f t="shared" si="12"/>
        <v>2024</v>
      </c>
      <c r="C271" s="4">
        <f t="shared" si="13"/>
        <v>4</v>
      </c>
      <c r="D271" s="2">
        <v>45393.691239224536</v>
      </c>
      <c r="E271" s="4">
        <f t="shared" si="14"/>
        <v>16</v>
      </c>
      <c r="F271" t="s">
        <v>3</v>
      </c>
      <c r="G271" t="s">
        <v>29</v>
      </c>
      <c r="H271" s="3">
        <v>38.700000000000003</v>
      </c>
      <c r="I271" t="s">
        <v>7</v>
      </c>
    </row>
    <row r="272" spans="1:9" x14ac:dyDescent="0.3">
      <c r="A272" s="1">
        <v>45393</v>
      </c>
      <c r="B272" s="4">
        <f t="shared" si="12"/>
        <v>2024</v>
      </c>
      <c r="C272" s="4">
        <f t="shared" si="13"/>
        <v>4</v>
      </c>
      <c r="D272" s="2">
        <v>45393.803432731482</v>
      </c>
      <c r="E272" s="4">
        <f t="shared" si="14"/>
        <v>19</v>
      </c>
      <c r="F272" t="s">
        <v>3</v>
      </c>
      <c r="G272" t="s">
        <v>120</v>
      </c>
      <c r="H272" s="3">
        <v>38.700000000000003</v>
      </c>
      <c r="I272" t="s">
        <v>43</v>
      </c>
    </row>
    <row r="273" spans="1:9" x14ac:dyDescent="0.3">
      <c r="A273" s="1">
        <v>45393</v>
      </c>
      <c r="B273" s="4">
        <f t="shared" si="12"/>
        <v>2024</v>
      </c>
      <c r="C273" s="4">
        <f t="shared" si="13"/>
        <v>4</v>
      </c>
      <c r="D273" s="2">
        <v>45393.804590497683</v>
      </c>
      <c r="E273" s="4">
        <f t="shared" si="14"/>
        <v>19</v>
      </c>
      <c r="F273" t="s">
        <v>3</v>
      </c>
      <c r="G273" t="s">
        <v>37</v>
      </c>
      <c r="H273" s="3">
        <v>33.799999999999997</v>
      </c>
      <c r="I273" t="s">
        <v>14</v>
      </c>
    </row>
    <row r="274" spans="1:9" x14ac:dyDescent="0.3">
      <c r="A274" s="1">
        <v>45394</v>
      </c>
      <c r="B274" s="4">
        <f t="shared" si="12"/>
        <v>2024</v>
      </c>
      <c r="C274" s="4">
        <f t="shared" si="13"/>
        <v>4</v>
      </c>
      <c r="D274" s="2">
        <v>45394.794252349537</v>
      </c>
      <c r="E274" s="4">
        <f t="shared" si="14"/>
        <v>19</v>
      </c>
      <c r="F274" t="s">
        <v>3</v>
      </c>
      <c r="G274" t="s">
        <v>31</v>
      </c>
      <c r="H274" s="3">
        <v>38.700000000000003</v>
      </c>
      <c r="I274" t="s">
        <v>9</v>
      </c>
    </row>
    <row r="275" spans="1:9" x14ac:dyDescent="0.3">
      <c r="A275" s="1">
        <v>45394</v>
      </c>
      <c r="B275" s="4">
        <f t="shared" si="12"/>
        <v>2024</v>
      </c>
      <c r="C275" s="4">
        <f t="shared" si="13"/>
        <v>4</v>
      </c>
      <c r="D275" s="2">
        <v>45394.818323946762</v>
      </c>
      <c r="E275" s="4">
        <f t="shared" si="14"/>
        <v>19</v>
      </c>
      <c r="F275" t="s">
        <v>3</v>
      </c>
      <c r="G275" t="s">
        <v>19</v>
      </c>
      <c r="H275" s="3">
        <v>28.9</v>
      </c>
      <c r="I275" t="s">
        <v>28</v>
      </c>
    </row>
    <row r="276" spans="1:9" x14ac:dyDescent="0.3">
      <c r="A276" s="1">
        <v>45395</v>
      </c>
      <c r="B276" s="4">
        <f t="shared" si="12"/>
        <v>2024</v>
      </c>
      <c r="C276" s="4">
        <f t="shared" si="13"/>
        <v>4</v>
      </c>
      <c r="D276" s="2">
        <v>45395.520368321762</v>
      </c>
      <c r="E276" s="4">
        <f t="shared" si="14"/>
        <v>12</v>
      </c>
      <c r="F276" t="s">
        <v>3</v>
      </c>
      <c r="G276" t="s">
        <v>19</v>
      </c>
      <c r="H276" s="3">
        <v>38.700000000000003</v>
      </c>
      <c r="I276" t="s">
        <v>7</v>
      </c>
    </row>
    <row r="277" spans="1:9" x14ac:dyDescent="0.3">
      <c r="A277" s="1">
        <v>45395</v>
      </c>
      <c r="B277" s="4">
        <f t="shared" si="12"/>
        <v>2024</v>
      </c>
      <c r="C277" s="4">
        <f t="shared" si="13"/>
        <v>4</v>
      </c>
      <c r="D277" s="2">
        <v>45395.529888761572</v>
      </c>
      <c r="E277" s="4">
        <f t="shared" si="14"/>
        <v>12</v>
      </c>
      <c r="F277" t="s">
        <v>3</v>
      </c>
      <c r="G277" t="s">
        <v>23</v>
      </c>
      <c r="H277" s="3">
        <v>28.9</v>
      </c>
      <c r="I277" t="s">
        <v>11</v>
      </c>
    </row>
    <row r="278" spans="1:9" hidden="1" x14ac:dyDescent="0.3">
      <c r="A278" s="1">
        <v>45395</v>
      </c>
      <c r="B278" s="4">
        <f t="shared" si="12"/>
        <v>2024</v>
      </c>
      <c r="C278" s="4">
        <f t="shared" si="13"/>
        <v>4</v>
      </c>
      <c r="D278" s="2">
        <v>45395.629771898151</v>
      </c>
      <c r="E278" s="4">
        <f t="shared" si="14"/>
        <v>15</v>
      </c>
      <c r="F278" t="s">
        <v>21</v>
      </c>
      <c r="H278" s="3">
        <v>40</v>
      </c>
      <c r="I278" t="s">
        <v>9</v>
      </c>
    </row>
    <row r="279" spans="1:9" hidden="1" x14ac:dyDescent="0.3">
      <c r="A279" s="1">
        <v>45395</v>
      </c>
      <c r="B279" s="4">
        <f t="shared" si="12"/>
        <v>2024</v>
      </c>
      <c r="C279" s="4">
        <f t="shared" si="13"/>
        <v>4</v>
      </c>
      <c r="D279" s="2">
        <v>45395.630508865739</v>
      </c>
      <c r="E279" s="4">
        <f t="shared" si="14"/>
        <v>15</v>
      </c>
      <c r="F279" t="s">
        <v>21</v>
      </c>
      <c r="H279" s="3">
        <v>40</v>
      </c>
      <c r="I279" t="s">
        <v>9</v>
      </c>
    </row>
    <row r="280" spans="1:9" x14ac:dyDescent="0.3">
      <c r="A280" s="1">
        <v>45395</v>
      </c>
      <c r="B280" s="4">
        <f t="shared" si="12"/>
        <v>2024</v>
      </c>
      <c r="C280" s="4">
        <f t="shared" si="13"/>
        <v>4</v>
      </c>
      <c r="D280" s="2">
        <v>45395.67921224537</v>
      </c>
      <c r="E280" s="4">
        <f t="shared" si="14"/>
        <v>16</v>
      </c>
      <c r="F280" t="s">
        <v>3</v>
      </c>
      <c r="G280" t="s">
        <v>125</v>
      </c>
      <c r="H280" s="3">
        <v>38.700000000000003</v>
      </c>
      <c r="I280" t="s">
        <v>43</v>
      </c>
    </row>
    <row r="281" spans="1:9" x14ac:dyDescent="0.3">
      <c r="A281" s="1">
        <v>45395</v>
      </c>
      <c r="B281" s="4">
        <f t="shared" si="12"/>
        <v>2024</v>
      </c>
      <c r="C281" s="4">
        <f t="shared" si="13"/>
        <v>4</v>
      </c>
      <c r="D281" s="2">
        <v>45395.680321747685</v>
      </c>
      <c r="E281" s="4">
        <f t="shared" si="14"/>
        <v>16</v>
      </c>
      <c r="F281" t="s">
        <v>3</v>
      </c>
      <c r="G281" t="s">
        <v>125</v>
      </c>
      <c r="H281" s="3">
        <v>38.700000000000003</v>
      </c>
      <c r="I281" t="s">
        <v>7</v>
      </c>
    </row>
    <row r="282" spans="1:9" x14ac:dyDescent="0.3">
      <c r="A282" s="1">
        <v>45395</v>
      </c>
      <c r="B282" s="4">
        <f t="shared" si="12"/>
        <v>2024</v>
      </c>
      <c r="C282" s="4">
        <f t="shared" si="13"/>
        <v>4</v>
      </c>
      <c r="D282" s="2">
        <v>45395.744051226851</v>
      </c>
      <c r="E282" s="4">
        <f t="shared" si="14"/>
        <v>17</v>
      </c>
      <c r="F282" t="s">
        <v>3</v>
      </c>
      <c r="G282" t="s">
        <v>126</v>
      </c>
      <c r="H282" s="3">
        <v>38.700000000000003</v>
      </c>
      <c r="I282" t="s">
        <v>43</v>
      </c>
    </row>
    <row r="283" spans="1:9" x14ac:dyDescent="0.3">
      <c r="A283" s="1">
        <v>45395</v>
      </c>
      <c r="B283" s="4">
        <f t="shared" si="12"/>
        <v>2024</v>
      </c>
      <c r="C283" s="4">
        <f t="shared" si="13"/>
        <v>4</v>
      </c>
      <c r="D283" s="2">
        <v>45395.745361539353</v>
      </c>
      <c r="E283" s="4">
        <f t="shared" si="14"/>
        <v>17</v>
      </c>
      <c r="F283" t="s">
        <v>3</v>
      </c>
      <c r="G283" t="s">
        <v>23</v>
      </c>
      <c r="H283" s="3">
        <v>38.700000000000003</v>
      </c>
      <c r="I283" t="s">
        <v>43</v>
      </c>
    </row>
    <row r="284" spans="1:9" hidden="1" x14ac:dyDescent="0.3">
      <c r="A284" s="1">
        <v>45396</v>
      </c>
      <c r="B284" s="4">
        <f t="shared" si="12"/>
        <v>2024</v>
      </c>
      <c r="C284" s="4">
        <f t="shared" si="13"/>
        <v>4</v>
      </c>
      <c r="D284" s="2">
        <v>45396.455178310185</v>
      </c>
      <c r="E284" s="4">
        <f t="shared" si="14"/>
        <v>10</v>
      </c>
      <c r="F284" t="s">
        <v>21</v>
      </c>
      <c r="H284" s="3">
        <v>40</v>
      </c>
      <c r="I284" t="s">
        <v>7</v>
      </c>
    </row>
    <row r="285" spans="1:9" x14ac:dyDescent="0.3">
      <c r="A285" s="1">
        <v>45396</v>
      </c>
      <c r="B285" s="4">
        <f t="shared" si="12"/>
        <v>2024</v>
      </c>
      <c r="C285" s="4">
        <f t="shared" si="13"/>
        <v>4</v>
      </c>
      <c r="D285" s="2">
        <v>45396.517118379626</v>
      </c>
      <c r="E285" s="4">
        <f t="shared" si="14"/>
        <v>12</v>
      </c>
      <c r="F285" t="s">
        <v>3</v>
      </c>
      <c r="G285" t="s">
        <v>127</v>
      </c>
      <c r="H285" s="3">
        <v>38.700000000000003</v>
      </c>
      <c r="I285" t="s">
        <v>43</v>
      </c>
    </row>
    <row r="286" spans="1:9" hidden="1" x14ac:dyDescent="0.3">
      <c r="A286" s="1">
        <v>45396</v>
      </c>
      <c r="B286" s="4">
        <f t="shared" si="12"/>
        <v>2024</v>
      </c>
      <c r="C286" s="4">
        <f t="shared" si="13"/>
        <v>4</v>
      </c>
      <c r="D286" s="2">
        <v>45396.51885359954</v>
      </c>
      <c r="E286" s="4">
        <f t="shared" si="14"/>
        <v>12</v>
      </c>
      <c r="F286" t="s">
        <v>21</v>
      </c>
      <c r="H286" s="3">
        <v>30</v>
      </c>
      <c r="I286" t="s">
        <v>28</v>
      </c>
    </row>
    <row r="287" spans="1:9" hidden="1" x14ac:dyDescent="0.3">
      <c r="A287" s="1">
        <v>45396</v>
      </c>
      <c r="B287" s="4">
        <f t="shared" si="12"/>
        <v>2024</v>
      </c>
      <c r="C287" s="4">
        <f t="shared" si="13"/>
        <v>4</v>
      </c>
      <c r="D287" s="2">
        <v>45396.520218483798</v>
      </c>
      <c r="E287" s="4">
        <f t="shared" si="14"/>
        <v>12</v>
      </c>
      <c r="F287" t="s">
        <v>21</v>
      </c>
      <c r="H287" s="3">
        <v>30</v>
      </c>
      <c r="I287" t="s">
        <v>28</v>
      </c>
    </row>
    <row r="288" spans="1:9" hidden="1" x14ac:dyDescent="0.3">
      <c r="A288" s="1">
        <v>45396</v>
      </c>
      <c r="B288" s="4">
        <f t="shared" si="12"/>
        <v>2024</v>
      </c>
      <c r="C288" s="4">
        <f t="shared" si="13"/>
        <v>4</v>
      </c>
      <c r="D288" s="2">
        <v>45396.52194486111</v>
      </c>
      <c r="E288" s="4">
        <f t="shared" si="14"/>
        <v>12</v>
      </c>
      <c r="F288" t="s">
        <v>21</v>
      </c>
      <c r="H288" s="3">
        <v>35</v>
      </c>
      <c r="I288" t="s">
        <v>14</v>
      </c>
    </row>
    <row r="289" spans="1:9" x14ac:dyDescent="0.3">
      <c r="A289" s="1">
        <v>45396</v>
      </c>
      <c r="B289" s="4">
        <f t="shared" si="12"/>
        <v>2024</v>
      </c>
      <c r="C289" s="4">
        <f t="shared" si="13"/>
        <v>4</v>
      </c>
      <c r="D289" s="2">
        <v>45396.556826481479</v>
      </c>
      <c r="E289" s="4">
        <f t="shared" si="14"/>
        <v>13</v>
      </c>
      <c r="F289" t="s">
        <v>3</v>
      </c>
      <c r="G289" t="s">
        <v>128</v>
      </c>
      <c r="H289" s="3">
        <v>28.9</v>
      </c>
      <c r="I289" t="s">
        <v>28</v>
      </c>
    </row>
    <row r="290" spans="1:9" x14ac:dyDescent="0.3">
      <c r="A290" s="1">
        <v>45396</v>
      </c>
      <c r="B290" s="4">
        <f t="shared" si="12"/>
        <v>2024</v>
      </c>
      <c r="C290" s="4">
        <f t="shared" si="13"/>
        <v>4</v>
      </c>
      <c r="D290" s="2">
        <v>45396.599671655094</v>
      </c>
      <c r="E290" s="4">
        <f t="shared" si="14"/>
        <v>14</v>
      </c>
      <c r="F290" t="s">
        <v>3</v>
      </c>
      <c r="G290" t="s">
        <v>23</v>
      </c>
      <c r="H290" s="3">
        <v>28.9</v>
      </c>
      <c r="I290" t="s">
        <v>11</v>
      </c>
    </row>
    <row r="291" spans="1:9" x14ac:dyDescent="0.3">
      <c r="A291" s="1">
        <v>45396</v>
      </c>
      <c r="B291" s="4">
        <f t="shared" si="12"/>
        <v>2024</v>
      </c>
      <c r="C291" s="4">
        <f t="shared" si="13"/>
        <v>4</v>
      </c>
      <c r="D291" s="2">
        <v>45396.600311689814</v>
      </c>
      <c r="E291" s="4">
        <f t="shared" si="14"/>
        <v>14</v>
      </c>
      <c r="F291" t="s">
        <v>3</v>
      </c>
      <c r="G291" t="s">
        <v>23</v>
      </c>
      <c r="H291" s="3">
        <v>28.9</v>
      </c>
      <c r="I291" t="s">
        <v>11</v>
      </c>
    </row>
    <row r="292" spans="1:9" x14ac:dyDescent="0.3">
      <c r="A292" s="1">
        <v>45396</v>
      </c>
      <c r="B292" s="4">
        <f t="shared" si="12"/>
        <v>2024</v>
      </c>
      <c r="C292" s="4">
        <f t="shared" si="13"/>
        <v>4</v>
      </c>
      <c r="D292" s="2">
        <v>45396.600904189814</v>
      </c>
      <c r="E292" s="4">
        <f t="shared" si="14"/>
        <v>14</v>
      </c>
      <c r="F292" t="s">
        <v>3</v>
      </c>
      <c r="G292" t="s">
        <v>23</v>
      </c>
      <c r="H292" s="3">
        <v>28.9</v>
      </c>
      <c r="I292" t="s">
        <v>11</v>
      </c>
    </row>
    <row r="293" spans="1:9" x14ac:dyDescent="0.3">
      <c r="A293" s="1">
        <v>45396</v>
      </c>
      <c r="B293" s="4">
        <f t="shared" si="12"/>
        <v>2024</v>
      </c>
      <c r="C293" s="4">
        <f t="shared" si="13"/>
        <v>4</v>
      </c>
      <c r="D293" s="2">
        <v>45396.657265428243</v>
      </c>
      <c r="E293" s="4">
        <f t="shared" si="14"/>
        <v>15</v>
      </c>
      <c r="F293" t="s">
        <v>3</v>
      </c>
      <c r="G293" t="s">
        <v>29</v>
      </c>
      <c r="H293" s="3">
        <v>38.700000000000003</v>
      </c>
      <c r="I293" t="s">
        <v>43</v>
      </c>
    </row>
    <row r="294" spans="1:9" x14ac:dyDescent="0.3">
      <c r="A294" s="1">
        <v>45396</v>
      </c>
      <c r="B294" s="4">
        <f t="shared" si="12"/>
        <v>2024</v>
      </c>
      <c r="C294" s="4">
        <f t="shared" si="13"/>
        <v>4</v>
      </c>
      <c r="D294" s="2">
        <v>45396.708273414355</v>
      </c>
      <c r="E294" s="4">
        <f t="shared" si="14"/>
        <v>16</v>
      </c>
      <c r="F294" t="s">
        <v>3</v>
      </c>
      <c r="G294" t="s">
        <v>23</v>
      </c>
      <c r="H294" s="3">
        <v>28.9</v>
      </c>
      <c r="I294" t="s">
        <v>28</v>
      </c>
    </row>
    <row r="295" spans="1:9" x14ac:dyDescent="0.3">
      <c r="A295" s="1">
        <v>45396</v>
      </c>
      <c r="B295" s="4">
        <f t="shared" si="12"/>
        <v>2024</v>
      </c>
      <c r="C295" s="4">
        <f t="shared" si="13"/>
        <v>4</v>
      </c>
      <c r="D295" s="2">
        <v>45396.708858645834</v>
      </c>
      <c r="E295" s="4">
        <f t="shared" si="14"/>
        <v>17</v>
      </c>
      <c r="F295" t="s">
        <v>3</v>
      </c>
      <c r="G295" t="s">
        <v>31</v>
      </c>
      <c r="H295" s="3">
        <v>38.700000000000003</v>
      </c>
      <c r="I295" t="s">
        <v>7</v>
      </c>
    </row>
    <row r="296" spans="1:9" x14ac:dyDescent="0.3">
      <c r="A296" s="1">
        <v>45396</v>
      </c>
      <c r="B296" s="4">
        <f t="shared" si="12"/>
        <v>2024</v>
      </c>
      <c r="C296" s="4">
        <f t="shared" si="13"/>
        <v>4</v>
      </c>
      <c r="D296" s="2">
        <v>45396.77661630787</v>
      </c>
      <c r="E296" s="4">
        <f t="shared" si="14"/>
        <v>18</v>
      </c>
      <c r="F296" t="s">
        <v>3</v>
      </c>
      <c r="G296" t="s">
        <v>129</v>
      </c>
      <c r="H296" s="3">
        <v>38.700000000000003</v>
      </c>
      <c r="I296" t="s">
        <v>43</v>
      </c>
    </row>
    <row r="297" spans="1:9" x14ac:dyDescent="0.3">
      <c r="A297" s="1">
        <v>45397</v>
      </c>
      <c r="B297" s="4">
        <f t="shared" si="12"/>
        <v>2024</v>
      </c>
      <c r="C297" s="4">
        <f t="shared" si="13"/>
        <v>4</v>
      </c>
      <c r="D297" s="2">
        <v>45397.489868275465</v>
      </c>
      <c r="E297" s="4">
        <f t="shared" si="14"/>
        <v>11</v>
      </c>
      <c r="F297" t="s">
        <v>3</v>
      </c>
      <c r="G297" t="s">
        <v>78</v>
      </c>
      <c r="H297" s="3">
        <v>28.9</v>
      </c>
      <c r="I297" t="s">
        <v>11</v>
      </c>
    </row>
    <row r="298" spans="1:9" x14ac:dyDescent="0.3">
      <c r="A298" s="1">
        <v>45397</v>
      </c>
      <c r="B298" s="4">
        <f t="shared" si="12"/>
        <v>2024</v>
      </c>
      <c r="C298" s="4">
        <f t="shared" si="13"/>
        <v>4</v>
      </c>
      <c r="D298" s="2">
        <v>45397.709564340279</v>
      </c>
      <c r="E298" s="4">
        <f t="shared" si="14"/>
        <v>17</v>
      </c>
      <c r="F298" t="s">
        <v>3</v>
      </c>
      <c r="G298" t="s">
        <v>10</v>
      </c>
      <c r="H298" s="3">
        <v>28.9</v>
      </c>
      <c r="I298" t="s">
        <v>11</v>
      </c>
    </row>
    <row r="299" spans="1:9" x14ac:dyDescent="0.3">
      <c r="A299" s="1">
        <v>45397</v>
      </c>
      <c r="B299" s="4">
        <f t="shared" si="12"/>
        <v>2024</v>
      </c>
      <c r="C299" s="4">
        <f t="shared" si="13"/>
        <v>4</v>
      </c>
      <c r="D299" s="2">
        <v>45397.71029800926</v>
      </c>
      <c r="E299" s="4">
        <f t="shared" si="14"/>
        <v>17</v>
      </c>
      <c r="F299" t="s">
        <v>3</v>
      </c>
      <c r="G299" t="s">
        <v>12</v>
      </c>
      <c r="H299" s="3">
        <v>33.799999999999997</v>
      </c>
      <c r="I299" t="s">
        <v>14</v>
      </c>
    </row>
    <row r="300" spans="1:9" x14ac:dyDescent="0.3">
      <c r="A300" s="1">
        <v>45397</v>
      </c>
      <c r="B300" s="4">
        <f t="shared" si="12"/>
        <v>2024</v>
      </c>
      <c r="C300" s="4">
        <f t="shared" si="13"/>
        <v>4</v>
      </c>
      <c r="D300" s="2">
        <v>45397.814618472221</v>
      </c>
      <c r="E300" s="4">
        <f t="shared" si="14"/>
        <v>19</v>
      </c>
      <c r="F300" t="s">
        <v>3</v>
      </c>
      <c r="G300" t="s">
        <v>19</v>
      </c>
      <c r="H300" s="3">
        <v>33.799999999999997</v>
      </c>
      <c r="I300" t="s">
        <v>14</v>
      </c>
    </row>
    <row r="301" spans="1:9" hidden="1" x14ac:dyDescent="0.3">
      <c r="A301" s="1">
        <v>45397</v>
      </c>
      <c r="B301" s="4">
        <f t="shared" si="12"/>
        <v>2024</v>
      </c>
      <c r="C301" s="4">
        <f t="shared" si="13"/>
        <v>4</v>
      </c>
      <c r="D301" s="2">
        <v>45397.820811481484</v>
      </c>
      <c r="E301" s="4">
        <f t="shared" si="14"/>
        <v>19</v>
      </c>
      <c r="F301" t="s">
        <v>21</v>
      </c>
      <c r="H301" s="3">
        <v>25</v>
      </c>
      <c r="I301" t="s">
        <v>35</v>
      </c>
    </row>
    <row r="302" spans="1:9" hidden="1" x14ac:dyDescent="0.3">
      <c r="A302" s="1">
        <v>45398</v>
      </c>
      <c r="B302" s="4">
        <f t="shared" si="12"/>
        <v>2024</v>
      </c>
      <c r="C302" s="4">
        <f t="shared" si="13"/>
        <v>4</v>
      </c>
      <c r="D302" s="2">
        <v>45398.447105405095</v>
      </c>
      <c r="E302" s="4">
        <f t="shared" si="14"/>
        <v>10</v>
      </c>
      <c r="F302" t="s">
        <v>21</v>
      </c>
      <c r="H302" s="3">
        <v>35</v>
      </c>
      <c r="I302" t="s">
        <v>14</v>
      </c>
    </row>
    <row r="303" spans="1:9" x14ac:dyDescent="0.3">
      <c r="A303" s="1">
        <v>45398</v>
      </c>
      <c r="B303" s="4">
        <f t="shared" si="12"/>
        <v>2024</v>
      </c>
      <c r="C303" s="4">
        <f t="shared" si="13"/>
        <v>4</v>
      </c>
      <c r="D303" s="2">
        <v>45398.448908634258</v>
      </c>
      <c r="E303" s="4">
        <f t="shared" si="14"/>
        <v>10</v>
      </c>
      <c r="F303" t="s">
        <v>3</v>
      </c>
      <c r="G303" t="s">
        <v>130</v>
      </c>
      <c r="H303" s="3">
        <v>33.799999999999997</v>
      </c>
      <c r="I303" t="s">
        <v>14</v>
      </c>
    </row>
    <row r="304" spans="1:9" x14ac:dyDescent="0.3">
      <c r="A304" s="1">
        <v>45398</v>
      </c>
      <c r="B304" s="4">
        <f t="shared" si="12"/>
        <v>2024</v>
      </c>
      <c r="C304" s="4">
        <f t="shared" si="13"/>
        <v>4</v>
      </c>
      <c r="D304" s="2">
        <v>45398.52832957176</v>
      </c>
      <c r="E304" s="4">
        <f t="shared" si="14"/>
        <v>12</v>
      </c>
      <c r="F304" t="s">
        <v>3</v>
      </c>
      <c r="G304" t="s">
        <v>131</v>
      </c>
      <c r="H304" s="3">
        <v>38.700000000000003</v>
      </c>
      <c r="I304" t="s">
        <v>18</v>
      </c>
    </row>
    <row r="305" spans="1:9" x14ac:dyDescent="0.3">
      <c r="A305" s="1">
        <v>45398</v>
      </c>
      <c r="B305" s="4">
        <f t="shared" si="12"/>
        <v>2024</v>
      </c>
      <c r="C305" s="4">
        <f t="shared" si="13"/>
        <v>4</v>
      </c>
      <c r="D305" s="2">
        <v>45398.536200810187</v>
      </c>
      <c r="E305" s="4">
        <f t="shared" si="14"/>
        <v>12</v>
      </c>
      <c r="F305" t="s">
        <v>3</v>
      </c>
      <c r="G305" t="s">
        <v>78</v>
      </c>
      <c r="H305" s="3">
        <v>28.9</v>
      </c>
      <c r="I305" t="s">
        <v>28</v>
      </c>
    </row>
    <row r="306" spans="1:9" x14ac:dyDescent="0.3">
      <c r="A306" s="1">
        <v>45398</v>
      </c>
      <c r="B306" s="4">
        <f t="shared" si="12"/>
        <v>2024</v>
      </c>
      <c r="C306" s="4">
        <f t="shared" si="13"/>
        <v>4</v>
      </c>
      <c r="D306" s="2">
        <v>45398.627278807871</v>
      </c>
      <c r="E306" s="4">
        <f t="shared" si="14"/>
        <v>15</v>
      </c>
      <c r="F306" t="s">
        <v>3</v>
      </c>
      <c r="G306" t="s">
        <v>132</v>
      </c>
      <c r="H306" s="3">
        <v>28.9</v>
      </c>
      <c r="I306" t="s">
        <v>11</v>
      </c>
    </row>
    <row r="307" spans="1:9" x14ac:dyDescent="0.3">
      <c r="A307" s="1">
        <v>45398</v>
      </c>
      <c r="B307" s="4">
        <f t="shared" si="12"/>
        <v>2024</v>
      </c>
      <c r="C307" s="4">
        <f t="shared" si="13"/>
        <v>4</v>
      </c>
      <c r="D307" s="2">
        <v>45398.737548703706</v>
      </c>
      <c r="E307" s="4">
        <f t="shared" si="14"/>
        <v>17</v>
      </c>
      <c r="F307" t="s">
        <v>3</v>
      </c>
      <c r="G307" t="s">
        <v>37</v>
      </c>
      <c r="H307" s="3">
        <v>33.799999999999997</v>
      </c>
      <c r="I307" t="s">
        <v>14</v>
      </c>
    </row>
    <row r="308" spans="1:9" x14ac:dyDescent="0.3">
      <c r="A308" s="1">
        <v>45398</v>
      </c>
      <c r="B308" s="4">
        <f t="shared" si="12"/>
        <v>2024</v>
      </c>
      <c r="C308" s="4">
        <f t="shared" si="13"/>
        <v>4</v>
      </c>
      <c r="D308" s="2">
        <v>45398.738460185188</v>
      </c>
      <c r="E308" s="4">
        <f t="shared" si="14"/>
        <v>17</v>
      </c>
      <c r="F308" t="s">
        <v>3</v>
      </c>
      <c r="G308" t="s">
        <v>19</v>
      </c>
      <c r="H308" s="3">
        <v>38.700000000000003</v>
      </c>
      <c r="I308" t="s">
        <v>43</v>
      </c>
    </row>
    <row r="309" spans="1:9" x14ac:dyDescent="0.3">
      <c r="A309" s="1">
        <v>45398</v>
      </c>
      <c r="B309" s="4">
        <f t="shared" si="12"/>
        <v>2024</v>
      </c>
      <c r="C309" s="4">
        <f t="shared" si="13"/>
        <v>4</v>
      </c>
      <c r="D309" s="2">
        <v>45398.756311030091</v>
      </c>
      <c r="E309" s="4">
        <f t="shared" si="14"/>
        <v>18</v>
      </c>
      <c r="F309" t="s">
        <v>3</v>
      </c>
      <c r="G309" t="s">
        <v>64</v>
      </c>
      <c r="H309" s="3">
        <v>38.700000000000003</v>
      </c>
      <c r="I309" t="s">
        <v>18</v>
      </c>
    </row>
    <row r="310" spans="1:9" x14ac:dyDescent="0.3">
      <c r="A310" s="1">
        <v>45399</v>
      </c>
      <c r="B310" s="4">
        <f t="shared" si="12"/>
        <v>2024</v>
      </c>
      <c r="C310" s="4">
        <f t="shared" si="13"/>
        <v>4</v>
      </c>
      <c r="D310" s="2">
        <v>45399.564580925929</v>
      </c>
      <c r="E310" s="4">
        <f t="shared" si="14"/>
        <v>13</v>
      </c>
      <c r="F310" t="s">
        <v>3</v>
      </c>
      <c r="G310" t="s">
        <v>23</v>
      </c>
      <c r="H310" s="3">
        <v>28.9</v>
      </c>
      <c r="I310" t="s">
        <v>11</v>
      </c>
    </row>
    <row r="311" spans="1:9" x14ac:dyDescent="0.3">
      <c r="A311" s="1">
        <v>45399</v>
      </c>
      <c r="B311" s="4">
        <f t="shared" si="12"/>
        <v>2024</v>
      </c>
      <c r="C311" s="4">
        <f t="shared" si="13"/>
        <v>4</v>
      </c>
      <c r="D311" s="2">
        <v>45399.572224317133</v>
      </c>
      <c r="E311" s="4">
        <f t="shared" si="14"/>
        <v>13</v>
      </c>
      <c r="F311" t="s">
        <v>3</v>
      </c>
      <c r="G311" t="s">
        <v>133</v>
      </c>
      <c r="H311" s="3">
        <v>24</v>
      </c>
      <c r="I311" t="s">
        <v>35</v>
      </c>
    </row>
    <row r="312" spans="1:9" hidden="1" x14ac:dyDescent="0.3">
      <c r="A312" s="1">
        <v>45399</v>
      </c>
      <c r="B312" s="4">
        <f t="shared" si="12"/>
        <v>2024</v>
      </c>
      <c r="C312" s="4">
        <f t="shared" si="13"/>
        <v>4</v>
      </c>
      <c r="D312" s="2">
        <v>45399.675975810183</v>
      </c>
      <c r="E312" s="4">
        <f t="shared" si="14"/>
        <v>16</v>
      </c>
      <c r="F312" t="s">
        <v>21</v>
      </c>
      <c r="H312" s="3">
        <v>40</v>
      </c>
      <c r="I312" t="s">
        <v>43</v>
      </c>
    </row>
    <row r="313" spans="1:9" x14ac:dyDescent="0.3">
      <c r="A313" s="1">
        <v>45399</v>
      </c>
      <c r="B313" s="4">
        <f t="shared" si="12"/>
        <v>2024</v>
      </c>
      <c r="C313" s="4">
        <f t="shared" si="13"/>
        <v>4</v>
      </c>
      <c r="D313" s="2">
        <v>45399.709434594908</v>
      </c>
      <c r="E313" s="4">
        <f t="shared" si="14"/>
        <v>17</v>
      </c>
      <c r="F313" t="s">
        <v>3</v>
      </c>
      <c r="G313" t="s">
        <v>134</v>
      </c>
      <c r="H313" s="3">
        <v>38.700000000000003</v>
      </c>
      <c r="I313" t="s">
        <v>43</v>
      </c>
    </row>
    <row r="314" spans="1:9" x14ac:dyDescent="0.3">
      <c r="A314" s="1">
        <v>45399</v>
      </c>
      <c r="B314" s="4">
        <f t="shared" si="12"/>
        <v>2024</v>
      </c>
      <c r="C314" s="4">
        <f t="shared" si="13"/>
        <v>4</v>
      </c>
      <c r="D314" s="2">
        <v>45399.710193136576</v>
      </c>
      <c r="E314" s="4">
        <f t="shared" si="14"/>
        <v>17</v>
      </c>
      <c r="F314" t="s">
        <v>3</v>
      </c>
      <c r="G314" t="s">
        <v>134</v>
      </c>
      <c r="H314" s="3">
        <v>38.700000000000003</v>
      </c>
      <c r="I314" t="s">
        <v>43</v>
      </c>
    </row>
    <row r="315" spans="1:9" x14ac:dyDescent="0.3">
      <c r="A315" s="1">
        <v>45399</v>
      </c>
      <c r="B315" s="4">
        <f t="shared" si="12"/>
        <v>2024</v>
      </c>
      <c r="C315" s="4">
        <f t="shared" si="13"/>
        <v>4</v>
      </c>
      <c r="D315" s="2">
        <v>45399.759759594905</v>
      </c>
      <c r="E315" s="4">
        <f t="shared" si="14"/>
        <v>18</v>
      </c>
      <c r="F315" t="s">
        <v>3</v>
      </c>
      <c r="G315" t="s">
        <v>135</v>
      </c>
      <c r="H315" s="3">
        <v>28.9</v>
      </c>
      <c r="I315" t="s">
        <v>28</v>
      </c>
    </row>
    <row r="316" spans="1:9" x14ac:dyDescent="0.3">
      <c r="A316" s="1">
        <v>45400</v>
      </c>
      <c r="B316" s="4">
        <f t="shared" si="12"/>
        <v>2024</v>
      </c>
      <c r="C316" s="4">
        <f t="shared" si="13"/>
        <v>4</v>
      </c>
      <c r="D316" s="2">
        <v>45400.471547372683</v>
      </c>
      <c r="E316" s="4">
        <f t="shared" si="14"/>
        <v>11</v>
      </c>
      <c r="F316" t="s">
        <v>3</v>
      </c>
      <c r="G316" t="s">
        <v>10</v>
      </c>
      <c r="H316" s="3">
        <v>28.9</v>
      </c>
      <c r="I316" t="s">
        <v>11</v>
      </c>
    </row>
    <row r="317" spans="1:9" x14ac:dyDescent="0.3">
      <c r="A317" s="1">
        <v>45400</v>
      </c>
      <c r="B317" s="4">
        <f t="shared" si="12"/>
        <v>2024</v>
      </c>
      <c r="C317" s="4">
        <f t="shared" si="13"/>
        <v>4</v>
      </c>
      <c r="D317" s="2">
        <v>45400.47228814815</v>
      </c>
      <c r="E317" s="4">
        <f t="shared" si="14"/>
        <v>11</v>
      </c>
      <c r="F317" t="s">
        <v>3</v>
      </c>
      <c r="G317" t="s">
        <v>10</v>
      </c>
      <c r="H317" s="3">
        <v>28.9</v>
      </c>
      <c r="I317" t="s">
        <v>11</v>
      </c>
    </row>
    <row r="318" spans="1:9" x14ac:dyDescent="0.3">
      <c r="A318" s="1">
        <v>45400</v>
      </c>
      <c r="B318" s="4">
        <f t="shared" si="12"/>
        <v>2024</v>
      </c>
      <c r="C318" s="4">
        <f t="shared" si="13"/>
        <v>4</v>
      </c>
      <c r="D318" s="2">
        <v>45400.575841666665</v>
      </c>
      <c r="E318" s="4">
        <f t="shared" si="14"/>
        <v>13</v>
      </c>
      <c r="F318" t="s">
        <v>3</v>
      </c>
      <c r="G318" t="s">
        <v>136</v>
      </c>
      <c r="H318" s="3">
        <v>33.799999999999997</v>
      </c>
      <c r="I318" t="s">
        <v>14</v>
      </c>
    </row>
    <row r="319" spans="1:9" x14ac:dyDescent="0.3">
      <c r="A319" s="1">
        <v>45400</v>
      </c>
      <c r="B319" s="4">
        <f t="shared" si="12"/>
        <v>2024</v>
      </c>
      <c r="C319" s="4">
        <f t="shared" si="13"/>
        <v>4</v>
      </c>
      <c r="D319" s="2">
        <v>45400.576588946758</v>
      </c>
      <c r="E319" s="4">
        <f t="shared" si="14"/>
        <v>13</v>
      </c>
      <c r="F319" t="s">
        <v>3</v>
      </c>
      <c r="G319" t="s">
        <v>136</v>
      </c>
      <c r="H319" s="3">
        <v>28.9</v>
      </c>
      <c r="I319" t="s">
        <v>28</v>
      </c>
    </row>
    <row r="320" spans="1:9" x14ac:dyDescent="0.3">
      <c r="A320" s="1">
        <v>45400</v>
      </c>
      <c r="B320" s="4">
        <f t="shared" si="12"/>
        <v>2024</v>
      </c>
      <c r="C320" s="4">
        <f t="shared" si="13"/>
        <v>4</v>
      </c>
      <c r="D320" s="2">
        <v>45400.607173819444</v>
      </c>
      <c r="E320" s="4">
        <f t="shared" si="14"/>
        <v>14</v>
      </c>
      <c r="F320" t="s">
        <v>3</v>
      </c>
      <c r="G320" t="s">
        <v>137</v>
      </c>
      <c r="H320" s="3">
        <v>38.700000000000003</v>
      </c>
      <c r="I320" t="s">
        <v>43</v>
      </c>
    </row>
    <row r="321" spans="1:9" x14ac:dyDescent="0.3">
      <c r="A321" s="1">
        <v>45400</v>
      </c>
      <c r="B321" s="4">
        <f t="shared" ref="B321:B384" si="15">YEAR(A321)</f>
        <v>2024</v>
      </c>
      <c r="C321" s="4">
        <f t="shared" ref="C321:C384" si="16">MONTH(A321)</f>
        <v>4</v>
      </c>
      <c r="D321" s="2">
        <v>45400.608210115737</v>
      </c>
      <c r="E321" s="4">
        <f t="shared" ref="E321:E384" si="17">HOUR(D321)</f>
        <v>14</v>
      </c>
      <c r="F321" t="s">
        <v>3</v>
      </c>
      <c r="G321" t="s">
        <v>137</v>
      </c>
      <c r="H321" s="3">
        <v>38.700000000000003</v>
      </c>
      <c r="I321" t="s">
        <v>7</v>
      </c>
    </row>
    <row r="322" spans="1:9" x14ac:dyDescent="0.3">
      <c r="A322" s="1">
        <v>45400</v>
      </c>
      <c r="B322" s="4">
        <f t="shared" si="15"/>
        <v>2024</v>
      </c>
      <c r="C322" s="4">
        <f t="shared" si="16"/>
        <v>4</v>
      </c>
      <c r="D322" s="2">
        <v>45400.739071655094</v>
      </c>
      <c r="E322" s="4">
        <f t="shared" si="17"/>
        <v>17</v>
      </c>
      <c r="F322" t="s">
        <v>3</v>
      </c>
      <c r="G322" t="s">
        <v>83</v>
      </c>
      <c r="H322" s="3">
        <v>38.700000000000003</v>
      </c>
      <c r="I322" t="s">
        <v>7</v>
      </c>
    </row>
    <row r="323" spans="1:9" x14ac:dyDescent="0.3">
      <c r="A323" s="1">
        <v>45400</v>
      </c>
      <c r="B323" s="4">
        <f t="shared" si="15"/>
        <v>2024</v>
      </c>
      <c r="C323" s="4">
        <f t="shared" si="16"/>
        <v>4</v>
      </c>
      <c r="D323" s="2">
        <v>45400.764652141203</v>
      </c>
      <c r="E323" s="4">
        <f t="shared" si="17"/>
        <v>18</v>
      </c>
      <c r="F323" t="s">
        <v>3</v>
      </c>
      <c r="G323" t="s">
        <v>99</v>
      </c>
      <c r="H323" s="3">
        <v>38.700000000000003</v>
      </c>
      <c r="I323" t="s">
        <v>43</v>
      </c>
    </row>
    <row r="324" spans="1:9" x14ac:dyDescent="0.3">
      <c r="A324" s="1">
        <v>45400</v>
      </c>
      <c r="B324" s="4">
        <f t="shared" si="15"/>
        <v>2024</v>
      </c>
      <c r="C324" s="4">
        <f t="shared" si="16"/>
        <v>4</v>
      </c>
      <c r="D324" s="2">
        <v>45400.819342511575</v>
      </c>
      <c r="E324" s="4">
        <f t="shared" si="17"/>
        <v>19</v>
      </c>
      <c r="F324" t="s">
        <v>3</v>
      </c>
      <c r="G324" t="s">
        <v>37</v>
      </c>
      <c r="H324" s="3">
        <v>38.700000000000003</v>
      </c>
      <c r="I324" t="s">
        <v>9</v>
      </c>
    </row>
    <row r="325" spans="1:9" x14ac:dyDescent="0.3">
      <c r="A325" s="1">
        <v>45400</v>
      </c>
      <c r="B325" s="4">
        <f t="shared" si="15"/>
        <v>2024</v>
      </c>
      <c r="C325" s="4">
        <f t="shared" si="16"/>
        <v>4</v>
      </c>
      <c r="D325" s="2">
        <v>45400.820011041666</v>
      </c>
      <c r="E325" s="4">
        <f t="shared" si="17"/>
        <v>19</v>
      </c>
      <c r="F325" t="s">
        <v>3</v>
      </c>
      <c r="G325" t="s">
        <v>19</v>
      </c>
      <c r="H325" s="3">
        <v>38.700000000000003</v>
      </c>
      <c r="I325" t="s">
        <v>9</v>
      </c>
    </row>
    <row r="326" spans="1:9" x14ac:dyDescent="0.3">
      <c r="A326" s="1">
        <v>45401</v>
      </c>
      <c r="B326" s="4">
        <f t="shared" si="15"/>
        <v>2024</v>
      </c>
      <c r="C326" s="4">
        <f t="shared" si="16"/>
        <v>4</v>
      </c>
      <c r="D326" s="2">
        <v>45401.424030717593</v>
      </c>
      <c r="E326" s="4">
        <f t="shared" si="17"/>
        <v>10</v>
      </c>
      <c r="F326" t="s">
        <v>3</v>
      </c>
      <c r="G326" t="s">
        <v>6</v>
      </c>
      <c r="H326" s="3">
        <v>38.700000000000003</v>
      </c>
      <c r="I326" t="s">
        <v>7</v>
      </c>
    </row>
    <row r="327" spans="1:9" x14ac:dyDescent="0.3">
      <c r="A327" s="1">
        <v>45401</v>
      </c>
      <c r="B327" s="4">
        <f t="shared" si="15"/>
        <v>2024</v>
      </c>
      <c r="C327" s="4">
        <f t="shared" si="16"/>
        <v>4</v>
      </c>
      <c r="D327" s="2">
        <v>45401.54985935185</v>
      </c>
      <c r="E327" s="4">
        <f t="shared" si="17"/>
        <v>13</v>
      </c>
      <c r="F327" t="s">
        <v>3</v>
      </c>
      <c r="G327" t="s">
        <v>54</v>
      </c>
      <c r="H327" s="3">
        <v>33.799999999999997</v>
      </c>
      <c r="I327" t="s">
        <v>14</v>
      </c>
    </row>
    <row r="328" spans="1:9" x14ac:dyDescent="0.3">
      <c r="A328" s="1">
        <v>45401</v>
      </c>
      <c r="B328" s="4">
        <f t="shared" si="15"/>
        <v>2024</v>
      </c>
      <c r="C328" s="4">
        <f t="shared" si="16"/>
        <v>4</v>
      </c>
      <c r="D328" s="2">
        <v>45401.550936064814</v>
      </c>
      <c r="E328" s="4">
        <f t="shared" si="17"/>
        <v>13</v>
      </c>
      <c r="F328" t="s">
        <v>3</v>
      </c>
      <c r="G328" t="s">
        <v>54</v>
      </c>
      <c r="H328" s="3">
        <v>38.700000000000003</v>
      </c>
      <c r="I328" t="s">
        <v>43</v>
      </c>
    </row>
    <row r="329" spans="1:9" x14ac:dyDescent="0.3">
      <c r="A329" s="1">
        <v>45401</v>
      </c>
      <c r="B329" s="4">
        <f t="shared" si="15"/>
        <v>2024</v>
      </c>
      <c r="C329" s="4">
        <f t="shared" si="16"/>
        <v>4</v>
      </c>
      <c r="D329" s="2">
        <v>45401.582570185186</v>
      </c>
      <c r="E329" s="4">
        <f t="shared" si="17"/>
        <v>13</v>
      </c>
      <c r="F329" t="s">
        <v>3</v>
      </c>
      <c r="G329" t="s">
        <v>138</v>
      </c>
      <c r="H329" s="3">
        <v>38.700000000000003</v>
      </c>
      <c r="I329" t="s">
        <v>9</v>
      </c>
    </row>
    <row r="330" spans="1:9" x14ac:dyDescent="0.3">
      <c r="A330" s="1">
        <v>45401</v>
      </c>
      <c r="B330" s="4">
        <f t="shared" si="15"/>
        <v>2024</v>
      </c>
      <c r="C330" s="4">
        <f t="shared" si="16"/>
        <v>4</v>
      </c>
      <c r="D330" s="2">
        <v>45401.583214004633</v>
      </c>
      <c r="E330" s="4">
        <f t="shared" si="17"/>
        <v>13</v>
      </c>
      <c r="F330" t="s">
        <v>3</v>
      </c>
      <c r="G330" t="s">
        <v>138</v>
      </c>
      <c r="H330" s="3">
        <v>38.700000000000003</v>
      </c>
      <c r="I330" t="s">
        <v>43</v>
      </c>
    </row>
    <row r="331" spans="1:9" x14ac:dyDescent="0.3">
      <c r="A331" s="1">
        <v>45401</v>
      </c>
      <c r="B331" s="4">
        <f t="shared" si="15"/>
        <v>2024</v>
      </c>
      <c r="C331" s="4">
        <f t="shared" si="16"/>
        <v>4</v>
      </c>
      <c r="D331" s="2">
        <v>45401.766195729164</v>
      </c>
      <c r="E331" s="4">
        <f t="shared" si="17"/>
        <v>18</v>
      </c>
      <c r="F331" t="s">
        <v>3</v>
      </c>
      <c r="G331" t="s">
        <v>37</v>
      </c>
      <c r="H331" s="3">
        <v>38.700000000000003</v>
      </c>
      <c r="I331" t="s">
        <v>18</v>
      </c>
    </row>
    <row r="332" spans="1:9" x14ac:dyDescent="0.3">
      <c r="A332" s="1">
        <v>45401</v>
      </c>
      <c r="B332" s="4">
        <f t="shared" si="15"/>
        <v>2024</v>
      </c>
      <c r="C332" s="4">
        <f t="shared" si="16"/>
        <v>4</v>
      </c>
      <c r="D332" s="2">
        <v>45401.767748148151</v>
      </c>
      <c r="E332" s="4">
        <f t="shared" si="17"/>
        <v>18</v>
      </c>
      <c r="F332" t="s">
        <v>3</v>
      </c>
      <c r="G332" t="s">
        <v>19</v>
      </c>
      <c r="H332" s="3">
        <v>33.799999999999997</v>
      </c>
      <c r="I332" t="s">
        <v>14</v>
      </c>
    </row>
    <row r="333" spans="1:9" hidden="1" x14ac:dyDescent="0.3">
      <c r="A333" s="1">
        <v>45402</v>
      </c>
      <c r="B333" s="4">
        <f t="shared" si="15"/>
        <v>2024</v>
      </c>
      <c r="C333" s="4">
        <f t="shared" si="16"/>
        <v>4</v>
      </c>
      <c r="D333" s="2">
        <v>45402.475493993057</v>
      </c>
      <c r="E333" s="4">
        <f t="shared" si="17"/>
        <v>11</v>
      </c>
      <c r="F333" t="s">
        <v>21</v>
      </c>
      <c r="H333" s="3">
        <v>35</v>
      </c>
      <c r="I333" t="s">
        <v>14</v>
      </c>
    </row>
    <row r="334" spans="1:9" x14ac:dyDescent="0.3">
      <c r="A334" s="1">
        <v>45402</v>
      </c>
      <c r="B334" s="4">
        <f t="shared" si="15"/>
        <v>2024</v>
      </c>
      <c r="C334" s="4">
        <f t="shared" si="16"/>
        <v>4</v>
      </c>
      <c r="D334" s="2">
        <v>45402.505968761572</v>
      </c>
      <c r="E334" s="4">
        <f t="shared" si="17"/>
        <v>12</v>
      </c>
      <c r="F334" t="s">
        <v>3</v>
      </c>
      <c r="G334" t="s">
        <v>139</v>
      </c>
      <c r="H334" s="3">
        <v>33.799999999999997</v>
      </c>
      <c r="I334" t="s">
        <v>14</v>
      </c>
    </row>
    <row r="335" spans="1:9" x14ac:dyDescent="0.3">
      <c r="A335" s="1">
        <v>45402</v>
      </c>
      <c r="B335" s="4">
        <f t="shared" si="15"/>
        <v>2024</v>
      </c>
      <c r="C335" s="4">
        <f t="shared" si="16"/>
        <v>4</v>
      </c>
      <c r="D335" s="2">
        <v>45402.506743796293</v>
      </c>
      <c r="E335" s="4">
        <f t="shared" si="17"/>
        <v>12</v>
      </c>
      <c r="F335" t="s">
        <v>3</v>
      </c>
      <c r="G335" t="s">
        <v>139</v>
      </c>
      <c r="H335" s="3">
        <v>33.799999999999997</v>
      </c>
      <c r="I335" t="s">
        <v>14</v>
      </c>
    </row>
    <row r="336" spans="1:9" x14ac:dyDescent="0.3">
      <c r="A336" s="1">
        <v>45402</v>
      </c>
      <c r="B336" s="4">
        <f t="shared" si="15"/>
        <v>2024</v>
      </c>
      <c r="C336" s="4">
        <f t="shared" si="16"/>
        <v>4</v>
      </c>
      <c r="D336" s="2">
        <v>45402.547654837967</v>
      </c>
      <c r="E336" s="4">
        <f t="shared" si="17"/>
        <v>13</v>
      </c>
      <c r="F336" t="s">
        <v>3</v>
      </c>
      <c r="G336" t="s">
        <v>132</v>
      </c>
      <c r="H336" s="3">
        <v>28.9</v>
      </c>
      <c r="I336" t="s">
        <v>11</v>
      </c>
    </row>
    <row r="337" spans="1:9" x14ac:dyDescent="0.3">
      <c r="A337" s="1">
        <v>45402</v>
      </c>
      <c r="B337" s="4">
        <f t="shared" si="15"/>
        <v>2024</v>
      </c>
      <c r="C337" s="4">
        <f t="shared" si="16"/>
        <v>4</v>
      </c>
      <c r="D337" s="2">
        <v>45402.548471122682</v>
      </c>
      <c r="E337" s="4">
        <f t="shared" si="17"/>
        <v>13</v>
      </c>
      <c r="F337" t="s">
        <v>3</v>
      </c>
      <c r="G337" t="s">
        <v>132</v>
      </c>
      <c r="H337" s="3">
        <v>33.799999999999997</v>
      </c>
      <c r="I337" t="s">
        <v>14</v>
      </c>
    </row>
    <row r="338" spans="1:9" x14ac:dyDescent="0.3">
      <c r="A338" s="1">
        <v>45402</v>
      </c>
      <c r="B338" s="4">
        <f t="shared" si="15"/>
        <v>2024</v>
      </c>
      <c r="C338" s="4">
        <f t="shared" si="16"/>
        <v>4</v>
      </c>
      <c r="D338" s="2">
        <v>45402.549249432872</v>
      </c>
      <c r="E338" s="4">
        <f t="shared" si="17"/>
        <v>13</v>
      </c>
      <c r="F338" t="s">
        <v>3</v>
      </c>
      <c r="G338" t="s">
        <v>132</v>
      </c>
      <c r="H338" s="3">
        <v>38.700000000000003</v>
      </c>
      <c r="I338" t="s">
        <v>9</v>
      </c>
    </row>
    <row r="339" spans="1:9" x14ac:dyDescent="0.3">
      <c r="A339" s="1">
        <v>45402</v>
      </c>
      <c r="B339" s="4">
        <f t="shared" si="15"/>
        <v>2024</v>
      </c>
      <c r="C339" s="4">
        <f t="shared" si="16"/>
        <v>4</v>
      </c>
      <c r="D339" s="2">
        <v>45402.614098587961</v>
      </c>
      <c r="E339" s="4">
        <f t="shared" si="17"/>
        <v>14</v>
      </c>
      <c r="F339" t="s">
        <v>3</v>
      </c>
      <c r="G339" t="s">
        <v>54</v>
      </c>
      <c r="H339" s="3">
        <v>38.700000000000003</v>
      </c>
      <c r="I339" t="s">
        <v>43</v>
      </c>
    </row>
    <row r="340" spans="1:9" x14ac:dyDescent="0.3">
      <c r="A340" s="1">
        <v>45402</v>
      </c>
      <c r="B340" s="4">
        <f t="shared" si="15"/>
        <v>2024</v>
      </c>
      <c r="C340" s="4">
        <f t="shared" si="16"/>
        <v>4</v>
      </c>
      <c r="D340" s="2">
        <v>45402.632642708333</v>
      </c>
      <c r="E340" s="4">
        <f t="shared" si="17"/>
        <v>15</v>
      </c>
      <c r="F340" t="s">
        <v>3</v>
      </c>
      <c r="G340" t="s">
        <v>19</v>
      </c>
      <c r="H340" s="3">
        <v>33.799999999999997</v>
      </c>
      <c r="I340" t="s">
        <v>14</v>
      </c>
    </row>
    <row r="341" spans="1:9" x14ac:dyDescent="0.3">
      <c r="A341" s="1">
        <v>45402</v>
      </c>
      <c r="B341" s="4">
        <f t="shared" si="15"/>
        <v>2024</v>
      </c>
      <c r="C341" s="4">
        <f t="shared" si="16"/>
        <v>4</v>
      </c>
      <c r="D341" s="2">
        <v>45402.640749039354</v>
      </c>
      <c r="E341" s="4">
        <f t="shared" si="17"/>
        <v>15</v>
      </c>
      <c r="F341" t="s">
        <v>3</v>
      </c>
      <c r="G341" t="s">
        <v>23</v>
      </c>
      <c r="H341" s="3">
        <v>32.82</v>
      </c>
      <c r="I341" t="s">
        <v>14</v>
      </c>
    </row>
    <row r="342" spans="1:9" x14ac:dyDescent="0.3">
      <c r="A342" s="1">
        <v>45402</v>
      </c>
      <c r="B342" s="4">
        <f t="shared" si="15"/>
        <v>2024</v>
      </c>
      <c r="C342" s="4">
        <f t="shared" si="16"/>
        <v>4</v>
      </c>
      <c r="D342" s="2">
        <v>45402.65931884259</v>
      </c>
      <c r="E342" s="4">
        <f t="shared" si="17"/>
        <v>15</v>
      </c>
      <c r="F342" t="s">
        <v>3</v>
      </c>
      <c r="G342" t="s">
        <v>140</v>
      </c>
      <c r="H342" s="3">
        <v>32.82</v>
      </c>
      <c r="I342" t="s">
        <v>14</v>
      </c>
    </row>
    <row r="343" spans="1:9" hidden="1" x14ac:dyDescent="0.3">
      <c r="A343" s="1">
        <v>45402</v>
      </c>
      <c r="B343" s="4">
        <f t="shared" si="15"/>
        <v>2024</v>
      </c>
      <c r="C343" s="4">
        <f t="shared" si="16"/>
        <v>4</v>
      </c>
      <c r="D343" s="2">
        <v>45402.713865381942</v>
      </c>
      <c r="E343" s="4">
        <f t="shared" si="17"/>
        <v>17</v>
      </c>
      <c r="F343" t="s">
        <v>21</v>
      </c>
      <c r="H343" s="3">
        <v>39</v>
      </c>
      <c r="I343" t="s">
        <v>18</v>
      </c>
    </row>
    <row r="344" spans="1:9" x14ac:dyDescent="0.3">
      <c r="A344" s="1">
        <v>45402</v>
      </c>
      <c r="B344" s="4">
        <f t="shared" si="15"/>
        <v>2024</v>
      </c>
      <c r="C344" s="4">
        <f t="shared" si="16"/>
        <v>4</v>
      </c>
      <c r="D344" s="2">
        <v>45402.76923027778</v>
      </c>
      <c r="E344" s="4">
        <f t="shared" si="17"/>
        <v>18</v>
      </c>
      <c r="F344" t="s">
        <v>3</v>
      </c>
      <c r="G344" t="s">
        <v>141</v>
      </c>
      <c r="H344" s="3">
        <v>37.72</v>
      </c>
      <c r="I344" t="s">
        <v>43</v>
      </c>
    </row>
    <row r="345" spans="1:9" x14ac:dyDescent="0.3">
      <c r="A345" s="1">
        <v>45402</v>
      </c>
      <c r="B345" s="4">
        <f t="shared" si="15"/>
        <v>2024</v>
      </c>
      <c r="C345" s="4">
        <f t="shared" si="16"/>
        <v>4</v>
      </c>
      <c r="D345" s="2">
        <v>45402.769987268519</v>
      </c>
      <c r="E345" s="4">
        <f t="shared" si="17"/>
        <v>18</v>
      </c>
      <c r="F345" t="s">
        <v>3</v>
      </c>
      <c r="G345" t="s">
        <v>141</v>
      </c>
      <c r="H345" s="3">
        <v>37.72</v>
      </c>
      <c r="I345" t="s">
        <v>43</v>
      </c>
    </row>
    <row r="346" spans="1:9" x14ac:dyDescent="0.3">
      <c r="A346" s="1">
        <v>45402</v>
      </c>
      <c r="B346" s="4">
        <f t="shared" si="15"/>
        <v>2024</v>
      </c>
      <c r="C346" s="4">
        <f t="shared" si="16"/>
        <v>4</v>
      </c>
      <c r="D346" s="2">
        <v>45402.813140243059</v>
      </c>
      <c r="E346" s="4">
        <f t="shared" si="17"/>
        <v>19</v>
      </c>
      <c r="F346" t="s">
        <v>3</v>
      </c>
      <c r="G346" t="s">
        <v>142</v>
      </c>
      <c r="H346" s="3">
        <v>37.72</v>
      </c>
      <c r="I346" t="s">
        <v>7</v>
      </c>
    </row>
    <row r="347" spans="1:9" x14ac:dyDescent="0.3">
      <c r="A347" s="1">
        <v>45403</v>
      </c>
      <c r="B347" s="4">
        <f t="shared" si="15"/>
        <v>2024</v>
      </c>
      <c r="C347" s="4">
        <f t="shared" si="16"/>
        <v>4</v>
      </c>
      <c r="D347" s="2">
        <v>45403.469973460647</v>
      </c>
      <c r="E347" s="4">
        <f t="shared" si="17"/>
        <v>11</v>
      </c>
      <c r="F347" t="s">
        <v>3</v>
      </c>
      <c r="G347" t="s">
        <v>6</v>
      </c>
      <c r="H347" s="3">
        <v>37.72</v>
      </c>
      <c r="I347" t="s">
        <v>7</v>
      </c>
    </row>
    <row r="348" spans="1:9" x14ac:dyDescent="0.3">
      <c r="A348" s="1">
        <v>45403</v>
      </c>
      <c r="B348" s="4">
        <f t="shared" si="15"/>
        <v>2024</v>
      </c>
      <c r="C348" s="4">
        <f t="shared" si="16"/>
        <v>4</v>
      </c>
      <c r="D348" s="2">
        <v>45403.594184502312</v>
      </c>
      <c r="E348" s="4">
        <f t="shared" si="17"/>
        <v>14</v>
      </c>
      <c r="F348" t="s">
        <v>3</v>
      </c>
      <c r="G348" t="s">
        <v>113</v>
      </c>
      <c r="H348" s="3">
        <v>27.92</v>
      </c>
      <c r="I348" t="s">
        <v>11</v>
      </c>
    </row>
    <row r="349" spans="1:9" hidden="1" x14ac:dyDescent="0.3">
      <c r="A349" s="1">
        <v>45403</v>
      </c>
      <c r="B349" s="4">
        <f t="shared" si="15"/>
        <v>2024</v>
      </c>
      <c r="C349" s="4">
        <f t="shared" si="16"/>
        <v>4</v>
      </c>
      <c r="D349" s="2">
        <v>45403.714620358798</v>
      </c>
      <c r="E349" s="4">
        <f t="shared" si="17"/>
        <v>17</v>
      </c>
      <c r="F349" t="s">
        <v>21</v>
      </c>
      <c r="H349" s="3">
        <v>39</v>
      </c>
      <c r="I349" t="s">
        <v>43</v>
      </c>
    </row>
    <row r="350" spans="1:9" x14ac:dyDescent="0.3">
      <c r="A350" s="1">
        <v>45404</v>
      </c>
      <c r="B350" s="4">
        <f t="shared" si="15"/>
        <v>2024</v>
      </c>
      <c r="C350" s="4">
        <f t="shared" si="16"/>
        <v>4</v>
      </c>
      <c r="D350" s="2">
        <v>45404.464773287036</v>
      </c>
      <c r="E350" s="4">
        <f t="shared" si="17"/>
        <v>11</v>
      </c>
      <c r="F350" t="s">
        <v>3</v>
      </c>
      <c r="G350" t="s">
        <v>23</v>
      </c>
      <c r="H350" s="3">
        <v>27.92</v>
      </c>
      <c r="I350" t="s">
        <v>11</v>
      </c>
    </row>
    <row r="351" spans="1:9" x14ac:dyDescent="0.3">
      <c r="A351" s="1">
        <v>45404</v>
      </c>
      <c r="B351" s="4">
        <f t="shared" si="15"/>
        <v>2024</v>
      </c>
      <c r="C351" s="4">
        <f t="shared" si="16"/>
        <v>4</v>
      </c>
      <c r="D351" s="2">
        <v>45404.478785868057</v>
      </c>
      <c r="E351" s="4">
        <f t="shared" si="17"/>
        <v>11</v>
      </c>
      <c r="F351" t="s">
        <v>3</v>
      </c>
      <c r="G351" t="s">
        <v>143</v>
      </c>
      <c r="H351" s="3">
        <v>32.82</v>
      </c>
      <c r="I351" t="s">
        <v>14</v>
      </c>
    </row>
    <row r="352" spans="1:9" hidden="1" x14ac:dyDescent="0.3">
      <c r="A352" s="1">
        <v>45404</v>
      </c>
      <c r="B352" s="4">
        <f t="shared" si="15"/>
        <v>2024</v>
      </c>
      <c r="C352" s="4">
        <f t="shared" si="16"/>
        <v>4</v>
      </c>
      <c r="D352" s="2">
        <v>45404.778160000002</v>
      </c>
      <c r="E352" s="4">
        <f t="shared" si="17"/>
        <v>18</v>
      </c>
      <c r="F352" t="s">
        <v>21</v>
      </c>
      <c r="H352" s="3">
        <v>39</v>
      </c>
      <c r="I352" t="s">
        <v>7</v>
      </c>
    </row>
    <row r="353" spans="1:9" x14ac:dyDescent="0.3">
      <c r="A353" s="1">
        <v>45404</v>
      </c>
      <c r="B353" s="4">
        <f t="shared" si="15"/>
        <v>2024</v>
      </c>
      <c r="C353" s="4">
        <f t="shared" si="16"/>
        <v>4</v>
      </c>
      <c r="D353" s="2">
        <v>45404.81880508102</v>
      </c>
      <c r="E353" s="4">
        <f t="shared" si="17"/>
        <v>19</v>
      </c>
      <c r="F353" t="s">
        <v>3</v>
      </c>
      <c r="G353" t="s">
        <v>19</v>
      </c>
      <c r="H353" s="3">
        <v>37.72</v>
      </c>
      <c r="I353" t="s">
        <v>7</v>
      </c>
    </row>
    <row r="354" spans="1:9" hidden="1" x14ac:dyDescent="0.3">
      <c r="A354" s="1">
        <v>45404</v>
      </c>
      <c r="B354" s="4">
        <f t="shared" si="15"/>
        <v>2024</v>
      </c>
      <c r="C354" s="4">
        <f t="shared" si="16"/>
        <v>4</v>
      </c>
      <c r="D354" s="2">
        <v>45404.835059780089</v>
      </c>
      <c r="E354" s="4">
        <f t="shared" si="17"/>
        <v>20</v>
      </c>
      <c r="F354" t="s">
        <v>21</v>
      </c>
      <c r="H354" s="3">
        <v>39</v>
      </c>
      <c r="I354" t="s">
        <v>43</v>
      </c>
    </row>
    <row r="355" spans="1:9" x14ac:dyDescent="0.3">
      <c r="A355" s="1">
        <v>45405</v>
      </c>
      <c r="B355" s="4">
        <f t="shared" si="15"/>
        <v>2024</v>
      </c>
      <c r="C355" s="4">
        <f t="shared" si="16"/>
        <v>4</v>
      </c>
      <c r="D355" s="2">
        <v>45405.599027719909</v>
      </c>
      <c r="E355" s="4">
        <f t="shared" si="17"/>
        <v>14</v>
      </c>
      <c r="F355" t="s">
        <v>3</v>
      </c>
      <c r="G355" t="s">
        <v>38</v>
      </c>
      <c r="H355" s="3">
        <v>37.72</v>
      </c>
      <c r="I355" t="s">
        <v>43</v>
      </c>
    </row>
    <row r="356" spans="1:9" x14ac:dyDescent="0.3">
      <c r="A356" s="1">
        <v>45405</v>
      </c>
      <c r="B356" s="4">
        <f t="shared" si="15"/>
        <v>2024</v>
      </c>
      <c r="C356" s="4">
        <f t="shared" si="16"/>
        <v>4</v>
      </c>
      <c r="D356" s="2">
        <v>45405.59992064815</v>
      </c>
      <c r="E356" s="4">
        <f t="shared" si="17"/>
        <v>14</v>
      </c>
      <c r="F356" t="s">
        <v>3</v>
      </c>
      <c r="G356" t="s">
        <v>37</v>
      </c>
      <c r="H356" s="3">
        <v>32.82</v>
      </c>
      <c r="I356" t="s">
        <v>14</v>
      </c>
    </row>
    <row r="357" spans="1:9" x14ac:dyDescent="0.3">
      <c r="A357" s="1">
        <v>45405</v>
      </c>
      <c r="B357" s="4">
        <f t="shared" si="15"/>
        <v>2024</v>
      </c>
      <c r="C357" s="4">
        <f t="shared" si="16"/>
        <v>4</v>
      </c>
      <c r="D357" s="2">
        <v>45405.600665682869</v>
      </c>
      <c r="E357" s="4">
        <f t="shared" si="17"/>
        <v>14</v>
      </c>
      <c r="F357" t="s">
        <v>3</v>
      </c>
      <c r="G357" t="s">
        <v>19</v>
      </c>
      <c r="H357" s="3">
        <v>37.72</v>
      </c>
      <c r="I357" t="s">
        <v>43</v>
      </c>
    </row>
    <row r="358" spans="1:9" x14ac:dyDescent="0.3">
      <c r="A358" s="1">
        <v>45405</v>
      </c>
      <c r="B358" s="4">
        <f t="shared" si="15"/>
        <v>2024</v>
      </c>
      <c r="C358" s="4">
        <f t="shared" si="16"/>
        <v>4</v>
      </c>
      <c r="D358" s="2">
        <v>45405.821154687503</v>
      </c>
      <c r="E358" s="4">
        <f t="shared" si="17"/>
        <v>19</v>
      </c>
      <c r="F358" t="s">
        <v>3</v>
      </c>
      <c r="G358" t="s">
        <v>144</v>
      </c>
      <c r="H358" s="3">
        <v>32.82</v>
      </c>
      <c r="I358" t="s">
        <v>14</v>
      </c>
    </row>
    <row r="359" spans="1:9" x14ac:dyDescent="0.3">
      <c r="A359" s="1">
        <v>45405</v>
      </c>
      <c r="B359" s="4">
        <f t="shared" si="15"/>
        <v>2024</v>
      </c>
      <c r="C359" s="4">
        <f t="shared" si="16"/>
        <v>4</v>
      </c>
      <c r="D359" s="2">
        <v>45405.821831412039</v>
      </c>
      <c r="E359" s="4">
        <f t="shared" si="17"/>
        <v>19</v>
      </c>
      <c r="F359" t="s">
        <v>3</v>
      </c>
      <c r="G359" t="s">
        <v>144</v>
      </c>
      <c r="H359" s="3">
        <v>32.82</v>
      </c>
      <c r="I359" t="s">
        <v>14</v>
      </c>
    </row>
    <row r="360" spans="1:9" x14ac:dyDescent="0.3">
      <c r="A360" s="1">
        <v>45406</v>
      </c>
      <c r="B360" s="4">
        <f t="shared" si="15"/>
        <v>2024</v>
      </c>
      <c r="C360" s="4">
        <f t="shared" si="16"/>
        <v>4</v>
      </c>
      <c r="D360" s="2">
        <v>45406.430304930553</v>
      </c>
      <c r="E360" s="4">
        <f t="shared" si="17"/>
        <v>10</v>
      </c>
      <c r="F360" t="s">
        <v>3</v>
      </c>
      <c r="G360" t="s">
        <v>6</v>
      </c>
      <c r="H360" s="3">
        <v>37.72</v>
      </c>
      <c r="I360" t="s">
        <v>7</v>
      </c>
    </row>
    <row r="361" spans="1:9" x14ac:dyDescent="0.3">
      <c r="A361" s="1">
        <v>45406</v>
      </c>
      <c r="B361" s="4">
        <f t="shared" si="15"/>
        <v>2024</v>
      </c>
      <c r="C361" s="4">
        <f t="shared" si="16"/>
        <v>4</v>
      </c>
      <c r="D361" s="2">
        <v>45406.43156582176</v>
      </c>
      <c r="E361" s="4">
        <f t="shared" si="17"/>
        <v>10</v>
      </c>
      <c r="F361" t="s">
        <v>3</v>
      </c>
      <c r="G361" t="s">
        <v>145</v>
      </c>
      <c r="H361" s="3">
        <v>32.82</v>
      </c>
      <c r="I361" t="s">
        <v>14</v>
      </c>
    </row>
    <row r="362" spans="1:9" x14ac:dyDescent="0.3">
      <c r="A362" s="1">
        <v>45406</v>
      </c>
      <c r="B362" s="4">
        <f t="shared" si="15"/>
        <v>2024</v>
      </c>
      <c r="C362" s="4">
        <f t="shared" si="16"/>
        <v>4</v>
      </c>
      <c r="D362" s="2">
        <v>45406.474839143521</v>
      </c>
      <c r="E362" s="4">
        <f t="shared" si="17"/>
        <v>11</v>
      </c>
      <c r="F362" t="s">
        <v>3</v>
      </c>
      <c r="G362" t="s">
        <v>146</v>
      </c>
      <c r="H362" s="3">
        <v>32.82</v>
      </c>
      <c r="I362" t="s">
        <v>14</v>
      </c>
    </row>
    <row r="363" spans="1:9" x14ac:dyDescent="0.3">
      <c r="A363" s="1">
        <v>45406</v>
      </c>
      <c r="B363" s="4">
        <f t="shared" si="15"/>
        <v>2024</v>
      </c>
      <c r="C363" s="4">
        <f t="shared" si="16"/>
        <v>4</v>
      </c>
      <c r="D363" s="2">
        <v>45406.481554942133</v>
      </c>
      <c r="E363" s="4">
        <f t="shared" si="17"/>
        <v>11</v>
      </c>
      <c r="F363" t="s">
        <v>3</v>
      </c>
      <c r="G363" t="s">
        <v>147</v>
      </c>
      <c r="H363" s="3">
        <v>32.82</v>
      </c>
      <c r="I363" t="s">
        <v>14</v>
      </c>
    </row>
    <row r="364" spans="1:9" x14ac:dyDescent="0.3">
      <c r="A364" s="1">
        <v>45406</v>
      </c>
      <c r="B364" s="4">
        <f t="shared" si="15"/>
        <v>2024</v>
      </c>
      <c r="C364" s="4">
        <f t="shared" si="16"/>
        <v>4</v>
      </c>
      <c r="D364" s="2">
        <v>45406.527190949077</v>
      </c>
      <c r="E364" s="4">
        <f t="shared" si="17"/>
        <v>12</v>
      </c>
      <c r="F364" t="s">
        <v>3</v>
      </c>
      <c r="G364" t="s">
        <v>73</v>
      </c>
      <c r="H364" s="3">
        <v>32.82</v>
      </c>
      <c r="I364" t="s">
        <v>14</v>
      </c>
    </row>
    <row r="365" spans="1:9" x14ac:dyDescent="0.3">
      <c r="A365" s="1">
        <v>45406</v>
      </c>
      <c r="B365" s="4">
        <f t="shared" si="15"/>
        <v>2024</v>
      </c>
      <c r="C365" s="4">
        <f t="shared" si="16"/>
        <v>4</v>
      </c>
      <c r="D365" s="2">
        <v>45406.693835914353</v>
      </c>
      <c r="E365" s="4">
        <f t="shared" si="17"/>
        <v>16</v>
      </c>
      <c r="F365" t="s">
        <v>3</v>
      </c>
      <c r="G365" t="s">
        <v>19</v>
      </c>
      <c r="H365" s="3">
        <v>32.82</v>
      </c>
      <c r="I365" t="s">
        <v>14</v>
      </c>
    </row>
    <row r="366" spans="1:9" x14ac:dyDescent="0.3">
      <c r="A366" s="1">
        <v>45406</v>
      </c>
      <c r="B366" s="4">
        <f t="shared" si="15"/>
        <v>2024</v>
      </c>
      <c r="C366" s="4">
        <f t="shared" si="16"/>
        <v>4</v>
      </c>
      <c r="D366" s="2">
        <v>45406.819328506943</v>
      </c>
      <c r="E366" s="4">
        <f t="shared" si="17"/>
        <v>19</v>
      </c>
      <c r="F366" t="s">
        <v>3</v>
      </c>
      <c r="G366" t="s">
        <v>148</v>
      </c>
      <c r="H366" s="3">
        <v>32.82</v>
      </c>
      <c r="I366" t="s">
        <v>14</v>
      </c>
    </row>
    <row r="367" spans="1:9" x14ac:dyDescent="0.3">
      <c r="A367" s="1">
        <v>45406</v>
      </c>
      <c r="B367" s="4">
        <f t="shared" si="15"/>
        <v>2024</v>
      </c>
      <c r="C367" s="4">
        <f t="shared" si="16"/>
        <v>4</v>
      </c>
      <c r="D367" s="2">
        <v>45406.820069803238</v>
      </c>
      <c r="E367" s="4">
        <f t="shared" si="17"/>
        <v>19</v>
      </c>
      <c r="F367" t="s">
        <v>3</v>
      </c>
      <c r="G367" t="s">
        <v>148</v>
      </c>
      <c r="H367" s="3">
        <v>37.72</v>
      </c>
      <c r="I367" t="s">
        <v>43</v>
      </c>
    </row>
    <row r="368" spans="1:9" x14ac:dyDescent="0.3">
      <c r="A368" s="1">
        <v>45407</v>
      </c>
      <c r="B368" s="4">
        <f t="shared" si="15"/>
        <v>2024</v>
      </c>
      <c r="C368" s="4">
        <f t="shared" si="16"/>
        <v>4</v>
      </c>
      <c r="D368" s="2">
        <v>45407.448704363429</v>
      </c>
      <c r="E368" s="4">
        <f t="shared" si="17"/>
        <v>10</v>
      </c>
      <c r="F368" t="s">
        <v>3</v>
      </c>
      <c r="G368" t="s">
        <v>149</v>
      </c>
      <c r="H368" s="3">
        <v>27.92</v>
      </c>
      <c r="I368" t="s">
        <v>11</v>
      </c>
    </row>
    <row r="369" spans="1:9" x14ac:dyDescent="0.3">
      <c r="A369" s="1">
        <v>45407</v>
      </c>
      <c r="B369" s="4">
        <f t="shared" si="15"/>
        <v>2024</v>
      </c>
      <c r="C369" s="4">
        <f t="shared" si="16"/>
        <v>4</v>
      </c>
      <c r="D369" s="2">
        <v>45407.63781216435</v>
      </c>
      <c r="E369" s="4">
        <f t="shared" si="17"/>
        <v>15</v>
      </c>
      <c r="F369" t="s">
        <v>3</v>
      </c>
      <c r="G369" t="s">
        <v>19</v>
      </c>
      <c r="H369" s="3">
        <v>37.72</v>
      </c>
      <c r="I369" t="s">
        <v>7</v>
      </c>
    </row>
    <row r="370" spans="1:9" x14ac:dyDescent="0.3">
      <c r="A370" s="1">
        <v>45407</v>
      </c>
      <c r="B370" s="4">
        <f t="shared" si="15"/>
        <v>2024</v>
      </c>
      <c r="C370" s="4">
        <f t="shared" si="16"/>
        <v>4</v>
      </c>
      <c r="D370" s="2">
        <v>45407.715087199074</v>
      </c>
      <c r="E370" s="4">
        <f t="shared" si="17"/>
        <v>17</v>
      </c>
      <c r="F370" t="s">
        <v>3</v>
      </c>
      <c r="G370" t="s">
        <v>23</v>
      </c>
      <c r="H370" s="3">
        <v>27.92</v>
      </c>
      <c r="I370" t="s">
        <v>11</v>
      </c>
    </row>
    <row r="371" spans="1:9" x14ac:dyDescent="0.3">
      <c r="A371" s="1">
        <v>45407</v>
      </c>
      <c r="B371" s="4">
        <f t="shared" si="15"/>
        <v>2024</v>
      </c>
      <c r="C371" s="4">
        <f t="shared" si="16"/>
        <v>4</v>
      </c>
      <c r="D371" s="2">
        <v>45407.715846678242</v>
      </c>
      <c r="E371" s="4">
        <f t="shared" si="17"/>
        <v>17</v>
      </c>
      <c r="F371" t="s">
        <v>3</v>
      </c>
      <c r="G371" t="s">
        <v>23</v>
      </c>
      <c r="H371" s="3">
        <v>27.92</v>
      </c>
      <c r="I371" t="s">
        <v>11</v>
      </c>
    </row>
    <row r="372" spans="1:9" x14ac:dyDescent="0.3">
      <c r="A372" s="1">
        <v>45408</v>
      </c>
      <c r="B372" s="4">
        <f t="shared" si="15"/>
        <v>2024</v>
      </c>
      <c r="C372" s="4">
        <f t="shared" si="16"/>
        <v>4</v>
      </c>
      <c r="D372" s="2">
        <v>45408.425585856479</v>
      </c>
      <c r="E372" s="4">
        <f t="shared" si="17"/>
        <v>10</v>
      </c>
      <c r="F372" t="s">
        <v>3</v>
      </c>
      <c r="G372" t="s">
        <v>6</v>
      </c>
      <c r="H372" s="3">
        <v>37.72</v>
      </c>
      <c r="I372" t="s">
        <v>7</v>
      </c>
    </row>
    <row r="373" spans="1:9" x14ac:dyDescent="0.3">
      <c r="A373" s="1">
        <v>45408</v>
      </c>
      <c r="B373" s="4">
        <f t="shared" si="15"/>
        <v>2024</v>
      </c>
      <c r="C373" s="4">
        <f t="shared" si="16"/>
        <v>4</v>
      </c>
      <c r="D373" s="2">
        <v>45408.501048379629</v>
      </c>
      <c r="E373" s="4">
        <f t="shared" si="17"/>
        <v>12</v>
      </c>
      <c r="F373" t="s">
        <v>3</v>
      </c>
      <c r="G373" t="s">
        <v>150</v>
      </c>
      <c r="H373" s="3">
        <v>37.72</v>
      </c>
      <c r="I373" t="s">
        <v>7</v>
      </c>
    </row>
    <row r="374" spans="1:9" x14ac:dyDescent="0.3">
      <c r="A374" s="1">
        <v>45408</v>
      </c>
      <c r="B374" s="4">
        <f t="shared" si="15"/>
        <v>2024</v>
      </c>
      <c r="C374" s="4">
        <f t="shared" si="16"/>
        <v>4</v>
      </c>
      <c r="D374" s="2">
        <v>45408.563521956021</v>
      </c>
      <c r="E374" s="4">
        <f t="shared" si="17"/>
        <v>13</v>
      </c>
      <c r="F374" t="s">
        <v>3</v>
      </c>
      <c r="G374" t="s">
        <v>151</v>
      </c>
      <c r="H374" s="3">
        <v>37.72</v>
      </c>
      <c r="I374" t="s">
        <v>43</v>
      </c>
    </row>
    <row r="375" spans="1:9" x14ac:dyDescent="0.3">
      <c r="A375" s="1">
        <v>45408</v>
      </c>
      <c r="B375" s="4">
        <f t="shared" si="15"/>
        <v>2024</v>
      </c>
      <c r="C375" s="4">
        <f t="shared" si="16"/>
        <v>4</v>
      </c>
      <c r="D375" s="2">
        <v>45408.647631828702</v>
      </c>
      <c r="E375" s="4">
        <f t="shared" si="17"/>
        <v>15</v>
      </c>
      <c r="F375" t="s">
        <v>3</v>
      </c>
      <c r="G375" t="s">
        <v>23</v>
      </c>
      <c r="H375" s="3">
        <v>27.92</v>
      </c>
      <c r="I375" t="s">
        <v>11</v>
      </c>
    </row>
    <row r="376" spans="1:9" x14ac:dyDescent="0.3">
      <c r="A376" s="1">
        <v>45408</v>
      </c>
      <c r="B376" s="4">
        <f t="shared" si="15"/>
        <v>2024</v>
      </c>
      <c r="C376" s="4">
        <f t="shared" si="16"/>
        <v>4</v>
      </c>
      <c r="D376" s="2">
        <v>45408.648300138891</v>
      </c>
      <c r="E376" s="4">
        <f t="shared" si="17"/>
        <v>15</v>
      </c>
      <c r="F376" t="s">
        <v>3</v>
      </c>
      <c r="G376" t="s">
        <v>23</v>
      </c>
      <c r="H376" s="3">
        <v>27.92</v>
      </c>
      <c r="I376" t="s">
        <v>11</v>
      </c>
    </row>
    <row r="377" spans="1:9" x14ac:dyDescent="0.3">
      <c r="A377" s="1">
        <v>45408</v>
      </c>
      <c r="B377" s="4">
        <f t="shared" si="15"/>
        <v>2024</v>
      </c>
      <c r="C377" s="4">
        <f t="shared" si="16"/>
        <v>4</v>
      </c>
      <c r="D377" s="2">
        <v>45408.682945763889</v>
      </c>
      <c r="E377" s="4">
        <f t="shared" si="17"/>
        <v>16</v>
      </c>
      <c r="F377" t="s">
        <v>3</v>
      </c>
      <c r="G377" t="s">
        <v>152</v>
      </c>
      <c r="H377" s="3">
        <v>27.92</v>
      </c>
      <c r="I377" t="s">
        <v>28</v>
      </c>
    </row>
    <row r="378" spans="1:9" x14ac:dyDescent="0.3">
      <c r="A378" s="1">
        <v>45408</v>
      </c>
      <c r="B378" s="4">
        <f t="shared" si="15"/>
        <v>2024</v>
      </c>
      <c r="C378" s="4">
        <f t="shared" si="16"/>
        <v>4</v>
      </c>
      <c r="D378" s="2">
        <v>45408.683724537033</v>
      </c>
      <c r="E378" s="4">
        <f t="shared" si="17"/>
        <v>16</v>
      </c>
      <c r="F378" t="s">
        <v>3</v>
      </c>
      <c r="G378" t="s">
        <v>153</v>
      </c>
      <c r="H378" s="3">
        <v>27.92</v>
      </c>
      <c r="I378" t="s">
        <v>11</v>
      </c>
    </row>
    <row r="379" spans="1:9" x14ac:dyDescent="0.3">
      <c r="A379" s="1">
        <v>45408</v>
      </c>
      <c r="B379" s="4">
        <f t="shared" si="15"/>
        <v>2024</v>
      </c>
      <c r="C379" s="4">
        <f t="shared" si="16"/>
        <v>4</v>
      </c>
      <c r="D379" s="2">
        <v>45408.813971203701</v>
      </c>
      <c r="E379" s="4">
        <f t="shared" si="17"/>
        <v>19</v>
      </c>
      <c r="F379" t="s">
        <v>3</v>
      </c>
      <c r="G379" t="s">
        <v>19</v>
      </c>
      <c r="H379" s="3">
        <v>37.72</v>
      </c>
      <c r="I379" t="s">
        <v>9</v>
      </c>
    </row>
    <row r="380" spans="1:9" x14ac:dyDescent="0.3">
      <c r="A380" s="1">
        <v>45408</v>
      </c>
      <c r="B380" s="4">
        <f t="shared" si="15"/>
        <v>2024</v>
      </c>
      <c r="C380" s="4">
        <f t="shared" si="16"/>
        <v>4</v>
      </c>
      <c r="D380" s="2">
        <v>45408.81493310185</v>
      </c>
      <c r="E380" s="4">
        <f t="shared" si="17"/>
        <v>19</v>
      </c>
      <c r="F380" t="s">
        <v>3</v>
      </c>
      <c r="G380" t="s">
        <v>19</v>
      </c>
      <c r="H380" s="3">
        <v>37.72</v>
      </c>
      <c r="I380" t="s">
        <v>18</v>
      </c>
    </row>
    <row r="381" spans="1:9" x14ac:dyDescent="0.3">
      <c r="A381" s="1">
        <v>45409</v>
      </c>
      <c r="B381" s="4">
        <f t="shared" si="15"/>
        <v>2024</v>
      </c>
      <c r="C381" s="4">
        <f t="shared" si="16"/>
        <v>4</v>
      </c>
      <c r="D381" s="2">
        <v>45409.64375787037</v>
      </c>
      <c r="E381" s="4">
        <f t="shared" si="17"/>
        <v>15</v>
      </c>
      <c r="F381" t="s">
        <v>3</v>
      </c>
      <c r="G381" t="s">
        <v>19</v>
      </c>
      <c r="H381" s="3">
        <v>37.72</v>
      </c>
      <c r="I381" t="s">
        <v>43</v>
      </c>
    </row>
    <row r="382" spans="1:9" x14ac:dyDescent="0.3">
      <c r="A382" s="1">
        <v>45410</v>
      </c>
      <c r="B382" s="4">
        <f t="shared" si="15"/>
        <v>2024</v>
      </c>
      <c r="C382" s="4">
        <f t="shared" si="16"/>
        <v>4</v>
      </c>
      <c r="D382" s="2">
        <v>45410.439496284722</v>
      </c>
      <c r="E382" s="4">
        <f t="shared" si="17"/>
        <v>10</v>
      </c>
      <c r="F382" t="s">
        <v>3</v>
      </c>
      <c r="G382" t="s">
        <v>6</v>
      </c>
      <c r="H382" s="3">
        <v>37.72</v>
      </c>
      <c r="I382" t="s">
        <v>7</v>
      </c>
    </row>
    <row r="383" spans="1:9" x14ac:dyDescent="0.3">
      <c r="A383" s="1">
        <v>45410</v>
      </c>
      <c r="B383" s="4">
        <f t="shared" si="15"/>
        <v>2024</v>
      </c>
      <c r="C383" s="4">
        <f t="shared" si="16"/>
        <v>4</v>
      </c>
      <c r="D383" s="2">
        <v>45410.520946168981</v>
      </c>
      <c r="E383" s="4">
        <f t="shared" si="17"/>
        <v>12</v>
      </c>
      <c r="F383" t="s">
        <v>3</v>
      </c>
      <c r="G383" t="s">
        <v>154</v>
      </c>
      <c r="H383" s="3">
        <v>37.72</v>
      </c>
      <c r="I383" t="s">
        <v>43</v>
      </c>
    </row>
    <row r="384" spans="1:9" x14ac:dyDescent="0.3">
      <c r="A384" s="1">
        <v>45410</v>
      </c>
      <c r="B384" s="4">
        <f t="shared" si="15"/>
        <v>2024</v>
      </c>
      <c r="C384" s="4">
        <f t="shared" si="16"/>
        <v>4</v>
      </c>
      <c r="D384" s="2">
        <v>45410.768845254628</v>
      </c>
      <c r="E384" s="4">
        <f t="shared" si="17"/>
        <v>18</v>
      </c>
      <c r="F384" t="s">
        <v>3</v>
      </c>
      <c r="G384" t="s">
        <v>23</v>
      </c>
      <c r="H384" s="3">
        <v>27.92</v>
      </c>
      <c r="I384" t="s">
        <v>11</v>
      </c>
    </row>
    <row r="385" spans="1:9" x14ac:dyDescent="0.3">
      <c r="A385" s="1">
        <v>45410</v>
      </c>
      <c r="B385" s="4">
        <f t="shared" ref="B385:B448" si="18">YEAR(A385)</f>
        <v>2024</v>
      </c>
      <c r="C385" s="4">
        <f t="shared" ref="C385:C448" si="19">MONTH(A385)</f>
        <v>4</v>
      </c>
      <c r="D385" s="2">
        <v>45410.769576516206</v>
      </c>
      <c r="E385" s="4">
        <f t="shared" ref="E385:E448" si="20">HOUR(D385)</f>
        <v>18</v>
      </c>
      <c r="F385" t="s">
        <v>3</v>
      </c>
      <c r="G385" t="s">
        <v>23</v>
      </c>
      <c r="H385" s="3">
        <v>27.92</v>
      </c>
      <c r="I385" t="s">
        <v>11</v>
      </c>
    </row>
    <row r="386" spans="1:9" x14ac:dyDescent="0.3">
      <c r="A386" s="1">
        <v>45410</v>
      </c>
      <c r="B386" s="4">
        <f t="shared" si="18"/>
        <v>2024</v>
      </c>
      <c r="C386" s="4">
        <f t="shared" si="19"/>
        <v>4</v>
      </c>
      <c r="D386" s="2">
        <v>45410.770166365743</v>
      </c>
      <c r="E386" s="4">
        <f t="shared" si="20"/>
        <v>18</v>
      </c>
      <c r="F386" t="s">
        <v>3</v>
      </c>
      <c r="G386" t="s">
        <v>31</v>
      </c>
      <c r="H386" s="3">
        <v>37.72</v>
      </c>
      <c r="I386" t="s">
        <v>7</v>
      </c>
    </row>
    <row r="387" spans="1:9" x14ac:dyDescent="0.3">
      <c r="A387" s="1">
        <v>45411</v>
      </c>
      <c r="B387" s="4">
        <f t="shared" si="18"/>
        <v>2024</v>
      </c>
      <c r="C387" s="4">
        <f t="shared" si="19"/>
        <v>4</v>
      </c>
      <c r="D387" s="2">
        <v>45411.476757766206</v>
      </c>
      <c r="E387" s="4">
        <f t="shared" si="20"/>
        <v>11</v>
      </c>
      <c r="F387" t="s">
        <v>3</v>
      </c>
      <c r="G387" t="s">
        <v>155</v>
      </c>
      <c r="H387" s="3">
        <v>27.92</v>
      </c>
      <c r="I387" t="s">
        <v>28</v>
      </c>
    </row>
    <row r="388" spans="1:9" x14ac:dyDescent="0.3">
      <c r="A388" s="1">
        <v>45411</v>
      </c>
      <c r="B388" s="4">
        <f t="shared" si="18"/>
        <v>2024</v>
      </c>
      <c r="C388" s="4">
        <f t="shared" si="19"/>
        <v>4</v>
      </c>
      <c r="D388" s="2">
        <v>45411.561075798614</v>
      </c>
      <c r="E388" s="4">
        <f t="shared" si="20"/>
        <v>13</v>
      </c>
      <c r="F388" t="s">
        <v>3</v>
      </c>
      <c r="G388" t="s">
        <v>10</v>
      </c>
      <c r="H388" s="3">
        <v>27.92</v>
      </c>
      <c r="I388" t="s">
        <v>11</v>
      </c>
    </row>
    <row r="389" spans="1:9" x14ac:dyDescent="0.3">
      <c r="A389" s="1">
        <v>45411</v>
      </c>
      <c r="B389" s="4">
        <f t="shared" si="18"/>
        <v>2024</v>
      </c>
      <c r="C389" s="4">
        <f t="shared" si="19"/>
        <v>4</v>
      </c>
      <c r="D389" s="2">
        <v>45411.56173494213</v>
      </c>
      <c r="E389" s="4">
        <f t="shared" si="20"/>
        <v>13</v>
      </c>
      <c r="F389" t="s">
        <v>3</v>
      </c>
      <c r="G389" t="s">
        <v>10</v>
      </c>
      <c r="H389" s="3">
        <v>27.92</v>
      </c>
      <c r="I389" t="s">
        <v>28</v>
      </c>
    </row>
    <row r="390" spans="1:9" x14ac:dyDescent="0.3">
      <c r="A390" s="1">
        <v>45411</v>
      </c>
      <c r="B390" s="4">
        <f t="shared" si="18"/>
        <v>2024</v>
      </c>
      <c r="C390" s="4">
        <f t="shared" si="19"/>
        <v>4</v>
      </c>
      <c r="D390" s="2">
        <v>45411.578885763891</v>
      </c>
      <c r="E390" s="4">
        <f t="shared" si="20"/>
        <v>13</v>
      </c>
      <c r="F390" t="s">
        <v>3</v>
      </c>
      <c r="G390" t="s">
        <v>155</v>
      </c>
      <c r="H390" s="3">
        <v>27.92</v>
      </c>
      <c r="I390" t="s">
        <v>28</v>
      </c>
    </row>
    <row r="391" spans="1:9" x14ac:dyDescent="0.3">
      <c r="A391" s="1">
        <v>45411</v>
      </c>
      <c r="B391" s="4">
        <f t="shared" si="18"/>
        <v>2024</v>
      </c>
      <c r="C391" s="4">
        <f t="shared" si="19"/>
        <v>4</v>
      </c>
      <c r="D391" s="2">
        <v>45411.579448576391</v>
      </c>
      <c r="E391" s="4">
        <f t="shared" si="20"/>
        <v>13</v>
      </c>
      <c r="F391" t="s">
        <v>3</v>
      </c>
      <c r="G391" t="s">
        <v>155</v>
      </c>
      <c r="H391" s="3">
        <v>32.82</v>
      </c>
      <c r="I391" t="s">
        <v>14</v>
      </c>
    </row>
    <row r="392" spans="1:9" x14ac:dyDescent="0.3">
      <c r="A392" s="1">
        <v>45411</v>
      </c>
      <c r="B392" s="4">
        <f t="shared" si="18"/>
        <v>2024</v>
      </c>
      <c r="C392" s="4">
        <f t="shared" si="19"/>
        <v>4</v>
      </c>
      <c r="D392" s="2">
        <v>45411.776254699071</v>
      </c>
      <c r="E392" s="4">
        <f t="shared" si="20"/>
        <v>18</v>
      </c>
      <c r="F392" t="s">
        <v>3</v>
      </c>
      <c r="G392" t="s">
        <v>154</v>
      </c>
      <c r="H392" s="3">
        <v>37.72</v>
      </c>
      <c r="I392" t="s">
        <v>43</v>
      </c>
    </row>
    <row r="393" spans="1:9" x14ac:dyDescent="0.3">
      <c r="A393" s="1">
        <v>45411</v>
      </c>
      <c r="B393" s="4">
        <f t="shared" si="18"/>
        <v>2024</v>
      </c>
      <c r="C393" s="4">
        <f t="shared" si="19"/>
        <v>4</v>
      </c>
      <c r="D393" s="2">
        <v>45411.800384189817</v>
      </c>
      <c r="E393" s="4">
        <f t="shared" si="20"/>
        <v>19</v>
      </c>
      <c r="F393" t="s">
        <v>3</v>
      </c>
      <c r="G393" t="s">
        <v>148</v>
      </c>
      <c r="H393" s="3">
        <v>37.72</v>
      </c>
      <c r="I393" t="s">
        <v>43</v>
      </c>
    </row>
    <row r="394" spans="1:9" x14ac:dyDescent="0.3">
      <c r="A394" s="1">
        <v>45411</v>
      </c>
      <c r="B394" s="4">
        <f t="shared" si="18"/>
        <v>2024</v>
      </c>
      <c r="C394" s="4">
        <f t="shared" si="19"/>
        <v>4</v>
      </c>
      <c r="D394" s="2">
        <v>45411.80113284722</v>
      </c>
      <c r="E394" s="4">
        <f t="shared" si="20"/>
        <v>19</v>
      </c>
      <c r="F394" t="s">
        <v>3</v>
      </c>
      <c r="G394" t="s">
        <v>148</v>
      </c>
      <c r="H394" s="3">
        <v>37.72</v>
      </c>
      <c r="I394" t="s">
        <v>43</v>
      </c>
    </row>
    <row r="395" spans="1:9" x14ac:dyDescent="0.3">
      <c r="A395" s="1">
        <v>45412</v>
      </c>
      <c r="B395" s="4">
        <f t="shared" si="18"/>
        <v>2024</v>
      </c>
      <c r="C395" s="4">
        <f t="shared" si="19"/>
        <v>4</v>
      </c>
      <c r="D395" s="2">
        <v>45412.428258020831</v>
      </c>
      <c r="E395" s="4">
        <f t="shared" si="20"/>
        <v>10</v>
      </c>
      <c r="F395" t="s">
        <v>3</v>
      </c>
      <c r="G395" t="s">
        <v>156</v>
      </c>
      <c r="H395" s="3">
        <v>37.72</v>
      </c>
      <c r="I395" t="s">
        <v>7</v>
      </c>
    </row>
    <row r="396" spans="1:9" x14ac:dyDescent="0.3">
      <c r="A396" s="1">
        <v>45412</v>
      </c>
      <c r="B396" s="4">
        <f t="shared" si="18"/>
        <v>2024</v>
      </c>
      <c r="C396" s="4">
        <f t="shared" si="19"/>
        <v>4</v>
      </c>
      <c r="D396" s="2">
        <v>45412.440882523151</v>
      </c>
      <c r="E396" s="4">
        <f t="shared" si="20"/>
        <v>10</v>
      </c>
      <c r="F396" t="s">
        <v>3</v>
      </c>
      <c r="G396" t="s">
        <v>156</v>
      </c>
      <c r="H396" s="3">
        <v>32.82</v>
      </c>
      <c r="I396" t="s">
        <v>14</v>
      </c>
    </row>
    <row r="397" spans="1:9" x14ac:dyDescent="0.3">
      <c r="A397" s="1">
        <v>45412</v>
      </c>
      <c r="B397" s="4">
        <f t="shared" si="18"/>
        <v>2024</v>
      </c>
      <c r="C397" s="4">
        <f t="shared" si="19"/>
        <v>4</v>
      </c>
      <c r="D397" s="2">
        <v>45412.441523344911</v>
      </c>
      <c r="E397" s="4">
        <f t="shared" si="20"/>
        <v>10</v>
      </c>
      <c r="F397" t="s">
        <v>3</v>
      </c>
      <c r="G397" t="s">
        <v>156</v>
      </c>
      <c r="H397" s="3">
        <v>32.82</v>
      </c>
      <c r="I397" t="s">
        <v>14</v>
      </c>
    </row>
    <row r="398" spans="1:9" x14ac:dyDescent="0.3">
      <c r="A398" s="1">
        <v>45412</v>
      </c>
      <c r="B398" s="4">
        <f t="shared" si="18"/>
        <v>2024</v>
      </c>
      <c r="C398" s="4">
        <f t="shared" si="19"/>
        <v>4</v>
      </c>
      <c r="D398" s="2">
        <v>45412.570744502314</v>
      </c>
      <c r="E398" s="4">
        <f t="shared" si="20"/>
        <v>13</v>
      </c>
      <c r="F398" t="s">
        <v>3</v>
      </c>
      <c r="G398" t="s">
        <v>156</v>
      </c>
      <c r="H398" s="3">
        <v>27.92</v>
      </c>
      <c r="I398" t="s">
        <v>11</v>
      </c>
    </row>
    <row r="399" spans="1:9" x14ac:dyDescent="0.3">
      <c r="A399" s="1">
        <v>45412</v>
      </c>
      <c r="B399" s="4">
        <f t="shared" si="18"/>
        <v>2024</v>
      </c>
      <c r="C399" s="4">
        <f t="shared" si="19"/>
        <v>4</v>
      </c>
      <c r="D399" s="2">
        <v>45412.571527511573</v>
      </c>
      <c r="E399" s="4">
        <f t="shared" si="20"/>
        <v>13</v>
      </c>
      <c r="F399" t="s">
        <v>3</v>
      </c>
      <c r="G399" t="s">
        <v>156</v>
      </c>
      <c r="H399" s="3">
        <v>32.82</v>
      </c>
      <c r="I399" t="s">
        <v>14</v>
      </c>
    </row>
    <row r="400" spans="1:9" x14ac:dyDescent="0.3">
      <c r="A400" s="1">
        <v>45412</v>
      </c>
      <c r="B400" s="4">
        <f t="shared" si="18"/>
        <v>2024</v>
      </c>
      <c r="C400" s="4">
        <f t="shared" si="19"/>
        <v>4</v>
      </c>
      <c r="D400" s="2">
        <v>45412.805071053241</v>
      </c>
      <c r="E400" s="4">
        <f t="shared" si="20"/>
        <v>19</v>
      </c>
      <c r="F400" t="s">
        <v>3</v>
      </c>
      <c r="G400" t="s">
        <v>156</v>
      </c>
      <c r="H400" s="3">
        <v>37.72</v>
      </c>
      <c r="I400" t="s">
        <v>43</v>
      </c>
    </row>
    <row r="401" spans="1:9" x14ac:dyDescent="0.3">
      <c r="A401" s="1">
        <v>45412</v>
      </c>
      <c r="B401" s="4">
        <f t="shared" si="18"/>
        <v>2024</v>
      </c>
      <c r="C401" s="4">
        <f t="shared" si="19"/>
        <v>4</v>
      </c>
      <c r="D401" s="2">
        <v>45412.812546331021</v>
      </c>
      <c r="E401" s="4">
        <f t="shared" si="20"/>
        <v>19</v>
      </c>
      <c r="F401" t="s">
        <v>3</v>
      </c>
      <c r="G401" t="s">
        <v>156</v>
      </c>
      <c r="H401" s="3">
        <v>32.82</v>
      </c>
      <c r="I401" t="s">
        <v>14</v>
      </c>
    </row>
    <row r="402" spans="1:9" x14ac:dyDescent="0.3">
      <c r="A402" s="1">
        <v>45412</v>
      </c>
      <c r="B402" s="4">
        <f t="shared" si="18"/>
        <v>2024</v>
      </c>
      <c r="C402" s="4">
        <f t="shared" si="19"/>
        <v>4</v>
      </c>
      <c r="D402" s="2">
        <v>45412.813436944445</v>
      </c>
      <c r="E402" s="4">
        <f t="shared" si="20"/>
        <v>19</v>
      </c>
      <c r="F402" t="s">
        <v>3</v>
      </c>
      <c r="G402" t="s">
        <v>156</v>
      </c>
      <c r="H402" s="3">
        <v>37.72</v>
      </c>
      <c r="I402" t="s">
        <v>7</v>
      </c>
    </row>
    <row r="403" spans="1:9" x14ac:dyDescent="0.3">
      <c r="A403" s="1">
        <v>45414</v>
      </c>
      <c r="B403" s="4">
        <f t="shared" si="18"/>
        <v>2024</v>
      </c>
      <c r="C403" s="4">
        <f t="shared" si="19"/>
        <v>5</v>
      </c>
      <c r="D403" s="2">
        <v>45414.440228541665</v>
      </c>
      <c r="E403" s="4">
        <f t="shared" si="20"/>
        <v>10</v>
      </c>
      <c r="F403" t="s">
        <v>3</v>
      </c>
      <c r="G403" t="s">
        <v>157</v>
      </c>
      <c r="H403" s="3">
        <v>27.92</v>
      </c>
      <c r="I403" t="s">
        <v>11</v>
      </c>
    </row>
    <row r="404" spans="1:9" hidden="1" x14ac:dyDescent="0.3">
      <c r="A404" s="1">
        <v>45414</v>
      </c>
      <c r="B404" s="4">
        <f t="shared" si="18"/>
        <v>2024</v>
      </c>
      <c r="C404" s="4">
        <f t="shared" si="19"/>
        <v>5</v>
      </c>
      <c r="D404" s="2">
        <v>45414.479132870372</v>
      </c>
      <c r="E404" s="4">
        <f t="shared" si="20"/>
        <v>11</v>
      </c>
      <c r="F404" t="s">
        <v>21</v>
      </c>
      <c r="H404" s="3">
        <v>39</v>
      </c>
      <c r="I404" t="s">
        <v>7</v>
      </c>
    </row>
    <row r="405" spans="1:9" x14ac:dyDescent="0.3">
      <c r="A405" s="1">
        <v>45414</v>
      </c>
      <c r="B405" s="4">
        <f t="shared" si="18"/>
        <v>2024</v>
      </c>
      <c r="C405" s="4">
        <f t="shared" si="19"/>
        <v>5</v>
      </c>
      <c r="D405" s="2">
        <v>45414.576156226853</v>
      </c>
      <c r="E405" s="4">
        <f t="shared" si="20"/>
        <v>13</v>
      </c>
      <c r="F405" t="s">
        <v>3</v>
      </c>
      <c r="G405" t="s">
        <v>147</v>
      </c>
      <c r="H405" s="3">
        <v>32.82</v>
      </c>
      <c r="I405" t="s">
        <v>14</v>
      </c>
    </row>
    <row r="406" spans="1:9" x14ac:dyDescent="0.3">
      <c r="A406" s="1">
        <v>45414</v>
      </c>
      <c r="B406" s="4">
        <f t="shared" si="18"/>
        <v>2024</v>
      </c>
      <c r="C406" s="4">
        <f t="shared" si="19"/>
        <v>5</v>
      </c>
      <c r="D406" s="2">
        <v>45414.775256226851</v>
      </c>
      <c r="E406" s="4">
        <f t="shared" si="20"/>
        <v>18</v>
      </c>
      <c r="F406" t="s">
        <v>3</v>
      </c>
      <c r="G406" t="s">
        <v>158</v>
      </c>
      <c r="H406" s="3">
        <v>37.72</v>
      </c>
      <c r="I406" t="s">
        <v>43</v>
      </c>
    </row>
    <row r="407" spans="1:9" x14ac:dyDescent="0.3">
      <c r="A407" s="1">
        <v>45414</v>
      </c>
      <c r="B407" s="4">
        <f t="shared" si="18"/>
        <v>2024</v>
      </c>
      <c r="C407" s="4">
        <f t="shared" si="19"/>
        <v>5</v>
      </c>
      <c r="D407" s="2">
        <v>45414.77860208333</v>
      </c>
      <c r="E407" s="4">
        <f t="shared" si="20"/>
        <v>18</v>
      </c>
      <c r="F407" t="s">
        <v>3</v>
      </c>
      <c r="G407" t="s">
        <v>37</v>
      </c>
      <c r="H407" s="3">
        <v>32.82</v>
      </c>
      <c r="I407" t="s">
        <v>14</v>
      </c>
    </row>
    <row r="408" spans="1:9" x14ac:dyDescent="0.3">
      <c r="A408" s="1">
        <v>45414</v>
      </c>
      <c r="B408" s="4">
        <f t="shared" si="18"/>
        <v>2024</v>
      </c>
      <c r="C408" s="4">
        <f t="shared" si="19"/>
        <v>5</v>
      </c>
      <c r="D408" s="2">
        <v>45414.804549583336</v>
      </c>
      <c r="E408" s="4">
        <f t="shared" si="20"/>
        <v>19</v>
      </c>
      <c r="F408" t="s">
        <v>3</v>
      </c>
      <c r="G408" t="s">
        <v>159</v>
      </c>
      <c r="H408" s="3">
        <v>37.72</v>
      </c>
      <c r="I408" t="s">
        <v>7</v>
      </c>
    </row>
    <row r="409" spans="1:9" x14ac:dyDescent="0.3">
      <c r="A409" s="1">
        <v>45414</v>
      </c>
      <c r="B409" s="4">
        <f t="shared" si="18"/>
        <v>2024</v>
      </c>
      <c r="C409" s="4">
        <f t="shared" si="19"/>
        <v>5</v>
      </c>
      <c r="D409" s="2">
        <v>45414.805513414351</v>
      </c>
      <c r="E409" s="4">
        <f t="shared" si="20"/>
        <v>19</v>
      </c>
      <c r="F409" t="s">
        <v>3</v>
      </c>
      <c r="G409" t="s">
        <v>159</v>
      </c>
      <c r="H409" s="3">
        <v>37.72</v>
      </c>
      <c r="I409" t="s">
        <v>43</v>
      </c>
    </row>
    <row r="410" spans="1:9" hidden="1" x14ac:dyDescent="0.3">
      <c r="A410" s="1">
        <v>45415</v>
      </c>
      <c r="B410" s="4">
        <f t="shared" si="18"/>
        <v>2024</v>
      </c>
      <c r="C410" s="4">
        <f t="shared" si="19"/>
        <v>5</v>
      </c>
      <c r="D410" s="2">
        <v>45415.424923599538</v>
      </c>
      <c r="E410" s="4">
        <f t="shared" si="20"/>
        <v>10</v>
      </c>
      <c r="F410" t="s">
        <v>21</v>
      </c>
      <c r="H410" s="3">
        <v>39</v>
      </c>
      <c r="I410" t="s">
        <v>7</v>
      </c>
    </row>
    <row r="411" spans="1:9" x14ac:dyDescent="0.3">
      <c r="A411" s="1">
        <v>45415</v>
      </c>
      <c r="B411" s="4">
        <f t="shared" si="18"/>
        <v>2024</v>
      </c>
      <c r="C411" s="4">
        <f t="shared" si="19"/>
        <v>5</v>
      </c>
      <c r="D411" s="2">
        <v>45415.604177349538</v>
      </c>
      <c r="E411" s="4">
        <f t="shared" si="20"/>
        <v>14</v>
      </c>
      <c r="F411" t="s">
        <v>3</v>
      </c>
      <c r="G411" t="s">
        <v>160</v>
      </c>
      <c r="H411" s="3">
        <v>37.72</v>
      </c>
      <c r="I411" t="s">
        <v>7</v>
      </c>
    </row>
    <row r="412" spans="1:9" x14ac:dyDescent="0.3">
      <c r="A412" s="1">
        <v>45415</v>
      </c>
      <c r="B412" s="4">
        <f t="shared" si="18"/>
        <v>2024</v>
      </c>
      <c r="C412" s="4">
        <f t="shared" si="19"/>
        <v>5</v>
      </c>
      <c r="D412" s="2">
        <v>45415.71070491898</v>
      </c>
      <c r="E412" s="4">
        <f t="shared" si="20"/>
        <v>17</v>
      </c>
      <c r="F412" t="s">
        <v>3</v>
      </c>
      <c r="G412" t="s">
        <v>161</v>
      </c>
      <c r="H412" s="3">
        <v>37.72</v>
      </c>
      <c r="I412" t="s">
        <v>7</v>
      </c>
    </row>
    <row r="413" spans="1:9" x14ac:dyDescent="0.3">
      <c r="A413" s="1">
        <v>45418</v>
      </c>
      <c r="B413" s="4">
        <f t="shared" si="18"/>
        <v>2024</v>
      </c>
      <c r="C413" s="4">
        <f t="shared" si="19"/>
        <v>5</v>
      </c>
      <c r="D413" s="2">
        <v>45418.420346296298</v>
      </c>
      <c r="E413" s="4">
        <f t="shared" si="20"/>
        <v>10</v>
      </c>
      <c r="F413" t="s">
        <v>3</v>
      </c>
      <c r="G413" t="s">
        <v>162</v>
      </c>
      <c r="H413" s="3">
        <v>27.92</v>
      </c>
      <c r="I413" t="s">
        <v>11</v>
      </c>
    </row>
    <row r="414" spans="1:9" x14ac:dyDescent="0.3">
      <c r="A414" s="1">
        <v>45418</v>
      </c>
      <c r="B414" s="4">
        <f t="shared" si="18"/>
        <v>2024</v>
      </c>
      <c r="C414" s="4">
        <f t="shared" si="19"/>
        <v>5</v>
      </c>
      <c r="D414" s="2">
        <v>45418.421430844908</v>
      </c>
      <c r="E414" s="4">
        <f t="shared" si="20"/>
        <v>10</v>
      </c>
      <c r="F414" t="s">
        <v>3</v>
      </c>
      <c r="G414" t="s">
        <v>163</v>
      </c>
      <c r="H414" s="3">
        <v>37.72</v>
      </c>
      <c r="I414" t="s">
        <v>43</v>
      </c>
    </row>
    <row r="415" spans="1:9" x14ac:dyDescent="0.3">
      <c r="A415" s="1">
        <v>45418</v>
      </c>
      <c r="B415" s="4">
        <f t="shared" si="18"/>
        <v>2024</v>
      </c>
      <c r="C415" s="4">
        <f t="shared" si="19"/>
        <v>5</v>
      </c>
      <c r="D415" s="2">
        <v>45418.42229008102</v>
      </c>
      <c r="E415" s="4">
        <f t="shared" si="20"/>
        <v>10</v>
      </c>
      <c r="F415" t="s">
        <v>3</v>
      </c>
      <c r="G415" t="s">
        <v>163</v>
      </c>
      <c r="H415" s="3">
        <v>32.82</v>
      </c>
      <c r="I415" t="s">
        <v>14</v>
      </c>
    </row>
    <row r="416" spans="1:9" x14ac:dyDescent="0.3">
      <c r="A416" s="1">
        <v>45418</v>
      </c>
      <c r="B416" s="4">
        <f t="shared" si="18"/>
        <v>2024</v>
      </c>
      <c r="C416" s="4">
        <f t="shared" si="19"/>
        <v>5</v>
      </c>
      <c r="D416" s="2">
        <v>45418.423008993057</v>
      </c>
      <c r="E416" s="4">
        <f t="shared" si="20"/>
        <v>10</v>
      </c>
      <c r="F416" t="s">
        <v>3</v>
      </c>
      <c r="G416" t="s">
        <v>164</v>
      </c>
      <c r="H416" s="3">
        <v>27.92</v>
      </c>
      <c r="I416" t="s">
        <v>11</v>
      </c>
    </row>
    <row r="417" spans="1:9" x14ac:dyDescent="0.3">
      <c r="A417" s="1">
        <v>45418</v>
      </c>
      <c r="B417" s="4">
        <f t="shared" si="18"/>
        <v>2024</v>
      </c>
      <c r="C417" s="4">
        <f t="shared" si="19"/>
        <v>5</v>
      </c>
      <c r="D417" s="2">
        <v>45418.443896307872</v>
      </c>
      <c r="E417" s="4">
        <f t="shared" si="20"/>
        <v>10</v>
      </c>
      <c r="F417" t="s">
        <v>3</v>
      </c>
      <c r="G417" t="s">
        <v>155</v>
      </c>
      <c r="H417" s="3">
        <v>27.92</v>
      </c>
      <c r="I417" t="s">
        <v>28</v>
      </c>
    </row>
    <row r="418" spans="1:9" hidden="1" x14ac:dyDescent="0.3">
      <c r="A418" s="1">
        <v>45418</v>
      </c>
      <c r="B418" s="4">
        <f t="shared" si="18"/>
        <v>2024</v>
      </c>
      <c r="C418" s="4">
        <f t="shared" si="19"/>
        <v>5</v>
      </c>
      <c r="D418" s="2">
        <v>45418.482183333334</v>
      </c>
      <c r="E418" s="4">
        <f t="shared" si="20"/>
        <v>11</v>
      </c>
      <c r="F418" t="s">
        <v>21</v>
      </c>
      <c r="H418" s="3">
        <v>29</v>
      </c>
      <c r="I418" t="s">
        <v>11</v>
      </c>
    </row>
    <row r="419" spans="1:9" x14ac:dyDescent="0.3">
      <c r="A419" s="1">
        <v>45418</v>
      </c>
      <c r="B419" s="4">
        <f t="shared" si="18"/>
        <v>2024</v>
      </c>
      <c r="C419" s="4">
        <f t="shared" si="19"/>
        <v>5</v>
      </c>
      <c r="D419" s="2">
        <v>45418.554293865738</v>
      </c>
      <c r="E419" s="4">
        <f t="shared" si="20"/>
        <v>13</v>
      </c>
      <c r="F419" t="s">
        <v>3</v>
      </c>
      <c r="G419" t="s">
        <v>162</v>
      </c>
      <c r="H419" s="3">
        <v>27.92</v>
      </c>
      <c r="I419" t="s">
        <v>28</v>
      </c>
    </row>
    <row r="420" spans="1:9" x14ac:dyDescent="0.3">
      <c r="A420" s="1">
        <v>45418</v>
      </c>
      <c r="B420" s="4">
        <f t="shared" si="18"/>
        <v>2024</v>
      </c>
      <c r="C420" s="4">
        <f t="shared" si="19"/>
        <v>5</v>
      </c>
      <c r="D420" s="2">
        <v>45418.554870497683</v>
      </c>
      <c r="E420" s="4">
        <f t="shared" si="20"/>
        <v>13</v>
      </c>
      <c r="F420" t="s">
        <v>3</v>
      </c>
      <c r="G420" t="s">
        <v>162</v>
      </c>
      <c r="H420" s="3">
        <v>27.92</v>
      </c>
      <c r="I420" t="s">
        <v>11</v>
      </c>
    </row>
    <row r="421" spans="1:9" x14ac:dyDescent="0.3">
      <c r="A421" s="1">
        <v>45418</v>
      </c>
      <c r="B421" s="4">
        <f t="shared" si="18"/>
        <v>2024</v>
      </c>
      <c r="C421" s="4">
        <f t="shared" si="19"/>
        <v>5</v>
      </c>
      <c r="D421" s="2">
        <v>45418.804317002316</v>
      </c>
      <c r="E421" s="4">
        <f t="shared" si="20"/>
        <v>19</v>
      </c>
      <c r="F421" t="s">
        <v>3</v>
      </c>
      <c r="G421" t="s">
        <v>165</v>
      </c>
      <c r="H421" s="3">
        <v>37.72</v>
      </c>
      <c r="I421" t="s">
        <v>43</v>
      </c>
    </row>
    <row r="422" spans="1:9" x14ac:dyDescent="0.3">
      <c r="A422" s="1">
        <v>45418</v>
      </c>
      <c r="B422" s="4">
        <f t="shared" si="18"/>
        <v>2024</v>
      </c>
      <c r="C422" s="4">
        <f t="shared" si="19"/>
        <v>5</v>
      </c>
      <c r="D422" s="2">
        <v>45418.80543458333</v>
      </c>
      <c r="E422" s="4">
        <f t="shared" si="20"/>
        <v>19</v>
      </c>
      <c r="F422" t="s">
        <v>3</v>
      </c>
      <c r="G422" t="s">
        <v>165</v>
      </c>
      <c r="H422" s="3">
        <v>37.72</v>
      </c>
      <c r="I422" t="s">
        <v>43</v>
      </c>
    </row>
    <row r="423" spans="1:9" x14ac:dyDescent="0.3">
      <c r="A423" s="1">
        <v>45419</v>
      </c>
      <c r="B423" s="4">
        <f t="shared" si="18"/>
        <v>2024</v>
      </c>
      <c r="C423" s="4">
        <f t="shared" si="19"/>
        <v>5</v>
      </c>
      <c r="D423" s="2">
        <v>45419.447865532406</v>
      </c>
      <c r="E423" s="4">
        <f t="shared" si="20"/>
        <v>10</v>
      </c>
      <c r="F423" t="s">
        <v>3</v>
      </c>
      <c r="G423" t="s">
        <v>162</v>
      </c>
      <c r="H423" s="3">
        <v>37.72</v>
      </c>
      <c r="I423" t="s">
        <v>18</v>
      </c>
    </row>
    <row r="424" spans="1:9" x14ac:dyDescent="0.3">
      <c r="A424" s="1">
        <v>45419</v>
      </c>
      <c r="B424" s="4">
        <f t="shared" si="18"/>
        <v>2024</v>
      </c>
      <c r="C424" s="4">
        <f t="shared" si="19"/>
        <v>5</v>
      </c>
      <c r="D424" s="2">
        <v>45419.473593668983</v>
      </c>
      <c r="E424" s="4">
        <f t="shared" si="20"/>
        <v>11</v>
      </c>
      <c r="F424" t="s">
        <v>3</v>
      </c>
      <c r="G424" t="s">
        <v>155</v>
      </c>
      <c r="H424" s="3">
        <v>27.92</v>
      </c>
      <c r="I424" t="s">
        <v>28</v>
      </c>
    </row>
    <row r="425" spans="1:9" x14ac:dyDescent="0.3">
      <c r="A425" s="1">
        <v>45419</v>
      </c>
      <c r="B425" s="4">
        <f t="shared" si="18"/>
        <v>2024</v>
      </c>
      <c r="C425" s="4">
        <f t="shared" si="19"/>
        <v>5</v>
      </c>
      <c r="D425" s="2">
        <v>45419.558043321762</v>
      </c>
      <c r="E425" s="4">
        <f t="shared" si="20"/>
        <v>13</v>
      </c>
      <c r="F425" t="s">
        <v>3</v>
      </c>
      <c r="G425" t="s">
        <v>91</v>
      </c>
      <c r="H425" s="3">
        <v>27.92</v>
      </c>
      <c r="I425" t="s">
        <v>28</v>
      </c>
    </row>
    <row r="426" spans="1:9" x14ac:dyDescent="0.3">
      <c r="A426" s="1">
        <v>45419</v>
      </c>
      <c r="B426" s="4">
        <f t="shared" si="18"/>
        <v>2024</v>
      </c>
      <c r="C426" s="4">
        <f t="shared" si="19"/>
        <v>5</v>
      </c>
      <c r="D426" s="2">
        <v>45419.695924768515</v>
      </c>
      <c r="E426" s="4">
        <f t="shared" si="20"/>
        <v>16</v>
      </c>
      <c r="F426" t="s">
        <v>3</v>
      </c>
      <c r="G426" t="s">
        <v>162</v>
      </c>
      <c r="H426" s="3">
        <v>37.72</v>
      </c>
      <c r="I426" t="s">
        <v>18</v>
      </c>
    </row>
    <row r="427" spans="1:9" x14ac:dyDescent="0.3">
      <c r="A427" s="1">
        <v>45419</v>
      </c>
      <c r="B427" s="4">
        <f t="shared" si="18"/>
        <v>2024</v>
      </c>
      <c r="C427" s="4">
        <f t="shared" si="19"/>
        <v>5</v>
      </c>
      <c r="D427" s="2">
        <v>45419.705310243058</v>
      </c>
      <c r="E427" s="4">
        <f t="shared" si="20"/>
        <v>16</v>
      </c>
      <c r="F427" t="s">
        <v>3</v>
      </c>
      <c r="G427" t="s">
        <v>166</v>
      </c>
      <c r="H427" s="3">
        <v>27.92</v>
      </c>
      <c r="I427" t="s">
        <v>11</v>
      </c>
    </row>
    <row r="428" spans="1:9" x14ac:dyDescent="0.3">
      <c r="A428" s="1">
        <v>45419</v>
      </c>
      <c r="B428" s="4">
        <f t="shared" si="18"/>
        <v>2024</v>
      </c>
      <c r="C428" s="4">
        <f t="shared" si="19"/>
        <v>5</v>
      </c>
      <c r="D428" s="2">
        <v>45419.734564953702</v>
      </c>
      <c r="E428" s="4">
        <f t="shared" si="20"/>
        <v>17</v>
      </c>
      <c r="F428" t="s">
        <v>3</v>
      </c>
      <c r="G428" t="s">
        <v>167</v>
      </c>
      <c r="H428" s="3">
        <v>37.72</v>
      </c>
      <c r="I428" t="s">
        <v>43</v>
      </c>
    </row>
    <row r="429" spans="1:9" x14ac:dyDescent="0.3">
      <c r="A429" s="1">
        <v>45419</v>
      </c>
      <c r="B429" s="4">
        <f t="shared" si="18"/>
        <v>2024</v>
      </c>
      <c r="C429" s="4">
        <f t="shared" si="19"/>
        <v>5</v>
      </c>
      <c r="D429" s="2">
        <v>45419.735280034722</v>
      </c>
      <c r="E429" s="4">
        <f t="shared" si="20"/>
        <v>17</v>
      </c>
      <c r="F429" t="s">
        <v>3</v>
      </c>
      <c r="G429" t="s">
        <v>167</v>
      </c>
      <c r="H429" s="3">
        <v>37.72</v>
      </c>
      <c r="I429" t="s">
        <v>7</v>
      </c>
    </row>
    <row r="430" spans="1:9" hidden="1" x14ac:dyDescent="0.3">
      <c r="A430" s="1">
        <v>45419</v>
      </c>
      <c r="B430" s="4">
        <f t="shared" si="18"/>
        <v>2024</v>
      </c>
      <c r="C430" s="4">
        <f t="shared" si="19"/>
        <v>5</v>
      </c>
      <c r="D430" s="2">
        <v>45419.774736516207</v>
      </c>
      <c r="E430" s="4">
        <f t="shared" si="20"/>
        <v>18</v>
      </c>
      <c r="F430" t="s">
        <v>21</v>
      </c>
      <c r="H430" s="3">
        <v>34</v>
      </c>
      <c r="I430" t="s">
        <v>14</v>
      </c>
    </row>
    <row r="431" spans="1:9" x14ac:dyDescent="0.3">
      <c r="A431" s="1">
        <v>45419</v>
      </c>
      <c r="B431" s="4">
        <f t="shared" si="18"/>
        <v>2024</v>
      </c>
      <c r="C431" s="4">
        <f t="shared" si="19"/>
        <v>5</v>
      </c>
      <c r="D431" s="2">
        <v>45419.800144953704</v>
      </c>
      <c r="E431" s="4">
        <f t="shared" si="20"/>
        <v>19</v>
      </c>
      <c r="F431" t="s">
        <v>3</v>
      </c>
      <c r="G431" t="s">
        <v>168</v>
      </c>
      <c r="H431" s="3">
        <v>37.72</v>
      </c>
      <c r="I431" t="s">
        <v>43</v>
      </c>
    </row>
    <row r="432" spans="1:9" x14ac:dyDescent="0.3">
      <c r="A432" s="1">
        <v>45419</v>
      </c>
      <c r="B432" s="4">
        <f t="shared" si="18"/>
        <v>2024</v>
      </c>
      <c r="C432" s="4">
        <f t="shared" si="19"/>
        <v>5</v>
      </c>
      <c r="D432" s="2">
        <v>45419.800835590278</v>
      </c>
      <c r="E432" s="4">
        <f t="shared" si="20"/>
        <v>19</v>
      </c>
      <c r="F432" t="s">
        <v>3</v>
      </c>
      <c r="G432" t="s">
        <v>168</v>
      </c>
      <c r="H432" s="3">
        <v>37.72</v>
      </c>
      <c r="I432" t="s">
        <v>43</v>
      </c>
    </row>
    <row r="433" spans="1:9" x14ac:dyDescent="0.3">
      <c r="A433" s="1">
        <v>45420</v>
      </c>
      <c r="B433" s="4">
        <f t="shared" si="18"/>
        <v>2024</v>
      </c>
      <c r="C433" s="4">
        <f t="shared" si="19"/>
        <v>5</v>
      </c>
      <c r="D433" s="2">
        <v>45420.421861840281</v>
      </c>
      <c r="E433" s="4">
        <f t="shared" si="20"/>
        <v>10</v>
      </c>
      <c r="F433" t="s">
        <v>3</v>
      </c>
      <c r="G433" t="s">
        <v>6</v>
      </c>
      <c r="H433" s="3">
        <v>37.72</v>
      </c>
      <c r="I433" t="s">
        <v>7</v>
      </c>
    </row>
    <row r="434" spans="1:9" x14ac:dyDescent="0.3">
      <c r="A434" s="1">
        <v>45421</v>
      </c>
      <c r="B434" s="4">
        <f t="shared" si="18"/>
        <v>2024</v>
      </c>
      <c r="C434" s="4">
        <f t="shared" si="19"/>
        <v>5</v>
      </c>
      <c r="D434" s="2">
        <v>45421.537752453703</v>
      </c>
      <c r="E434" s="4">
        <f t="shared" si="20"/>
        <v>12</v>
      </c>
      <c r="F434" t="s">
        <v>3</v>
      </c>
      <c r="G434" t="s">
        <v>169</v>
      </c>
      <c r="H434" s="3">
        <v>37.72</v>
      </c>
      <c r="I434" t="s">
        <v>43</v>
      </c>
    </row>
    <row r="435" spans="1:9" x14ac:dyDescent="0.3">
      <c r="A435" s="1">
        <v>45421</v>
      </c>
      <c r="B435" s="4">
        <f t="shared" si="18"/>
        <v>2024</v>
      </c>
      <c r="C435" s="4">
        <f t="shared" si="19"/>
        <v>5</v>
      </c>
      <c r="D435" s="2">
        <v>45421.544427731482</v>
      </c>
      <c r="E435" s="4">
        <f t="shared" si="20"/>
        <v>13</v>
      </c>
      <c r="F435" t="s">
        <v>3</v>
      </c>
      <c r="G435" t="s">
        <v>170</v>
      </c>
      <c r="H435" s="3">
        <v>27.92</v>
      </c>
      <c r="I435" t="s">
        <v>11</v>
      </c>
    </row>
    <row r="436" spans="1:9" x14ac:dyDescent="0.3">
      <c r="A436" s="1">
        <v>45421</v>
      </c>
      <c r="B436" s="4">
        <f t="shared" si="18"/>
        <v>2024</v>
      </c>
      <c r="C436" s="4">
        <f t="shared" si="19"/>
        <v>5</v>
      </c>
      <c r="D436" s="2">
        <v>45421.54511165509</v>
      </c>
      <c r="E436" s="4">
        <f t="shared" si="20"/>
        <v>13</v>
      </c>
      <c r="F436" t="s">
        <v>3</v>
      </c>
      <c r="G436" t="s">
        <v>170</v>
      </c>
      <c r="H436" s="3">
        <v>37.72</v>
      </c>
      <c r="I436" t="s">
        <v>7</v>
      </c>
    </row>
    <row r="437" spans="1:9" x14ac:dyDescent="0.3">
      <c r="A437" s="1">
        <v>45421</v>
      </c>
      <c r="B437" s="4">
        <f t="shared" si="18"/>
        <v>2024</v>
      </c>
      <c r="C437" s="4">
        <f t="shared" si="19"/>
        <v>5</v>
      </c>
      <c r="D437" s="2">
        <v>45421.545963668985</v>
      </c>
      <c r="E437" s="4">
        <f t="shared" si="20"/>
        <v>13</v>
      </c>
      <c r="F437" t="s">
        <v>3</v>
      </c>
      <c r="G437" t="s">
        <v>170</v>
      </c>
      <c r="H437" s="3">
        <v>37.72</v>
      </c>
      <c r="I437" t="s">
        <v>7</v>
      </c>
    </row>
    <row r="438" spans="1:9" x14ac:dyDescent="0.3">
      <c r="A438" s="1">
        <v>45421</v>
      </c>
      <c r="B438" s="4">
        <f t="shared" si="18"/>
        <v>2024</v>
      </c>
      <c r="C438" s="4">
        <f t="shared" si="19"/>
        <v>5</v>
      </c>
      <c r="D438" s="2">
        <v>45421.546717696758</v>
      </c>
      <c r="E438" s="4">
        <f t="shared" si="20"/>
        <v>13</v>
      </c>
      <c r="F438" t="s">
        <v>3</v>
      </c>
      <c r="G438" t="s">
        <v>170</v>
      </c>
      <c r="H438" s="3">
        <v>37.72</v>
      </c>
      <c r="I438" t="s">
        <v>7</v>
      </c>
    </row>
    <row r="439" spans="1:9" x14ac:dyDescent="0.3">
      <c r="A439" s="1">
        <v>45421</v>
      </c>
      <c r="B439" s="4">
        <f t="shared" si="18"/>
        <v>2024</v>
      </c>
      <c r="C439" s="4">
        <f t="shared" si="19"/>
        <v>5</v>
      </c>
      <c r="D439" s="2">
        <v>45421.705030104167</v>
      </c>
      <c r="E439" s="4">
        <f t="shared" si="20"/>
        <v>16</v>
      </c>
      <c r="F439" t="s">
        <v>3</v>
      </c>
      <c r="G439" t="s">
        <v>132</v>
      </c>
      <c r="H439" s="3">
        <v>27.92</v>
      </c>
      <c r="I439" t="s">
        <v>11</v>
      </c>
    </row>
    <row r="440" spans="1:9" x14ac:dyDescent="0.3">
      <c r="A440" s="1">
        <v>45421</v>
      </c>
      <c r="B440" s="4">
        <f t="shared" si="18"/>
        <v>2024</v>
      </c>
      <c r="C440" s="4">
        <f t="shared" si="19"/>
        <v>5</v>
      </c>
      <c r="D440" s="2">
        <v>45421.70572903935</v>
      </c>
      <c r="E440" s="4">
        <f t="shared" si="20"/>
        <v>16</v>
      </c>
      <c r="F440" t="s">
        <v>3</v>
      </c>
      <c r="G440" t="s">
        <v>132</v>
      </c>
      <c r="H440" s="3">
        <v>27.92</v>
      </c>
      <c r="I440" t="s">
        <v>11</v>
      </c>
    </row>
    <row r="441" spans="1:9" x14ac:dyDescent="0.3">
      <c r="A441" s="1">
        <v>45421</v>
      </c>
      <c r="B441" s="4">
        <f t="shared" si="18"/>
        <v>2024</v>
      </c>
      <c r="C441" s="4">
        <f t="shared" si="19"/>
        <v>5</v>
      </c>
      <c r="D441" s="2">
        <v>45421.751040451389</v>
      </c>
      <c r="E441" s="4">
        <f t="shared" si="20"/>
        <v>18</v>
      </c>
      <c r="F441" t="s">
        <v>3</v>
      </c>
      <c r="G441" t="s">
        <v>171</v>
      </c>
      <c r="H441" s="3">
        <v>27.92</v>
      </c>
      <c r="I441" t="s">
        <v>11</v>
      </c>
    </row>
    <row r="442" spans="1:9" x14ac:dyDescent="0.3">
      <c r="A442" s="1">
        <v>45421</v>
      </c>
      <c r="B442" s="4">
        <f t="shared" si="18"/>
        <v>2024</v>
      </c>
      <c r="C442" s="4">
        <f t="shared" si="19"/>
        <v>5</v>
      </c>
      <c r="D442" s="2">
        <v>45421.759678541668</v>
      </c>
      <c r="E442" s="4">
        <f t="shared" si="20"/>
        <v>18</v>
      </c>
      <c r="F442" t="s">
        <v>3</v>
      </c>
      <c r="G442" t="s">
        <v>157</v>
      </c>
      <c r="H442" s="3">
        <v>32.82</v>
      </c>
      <c r="I442" t="s">
        <v>14</v>
      </c>
    </row>
    <row r="443" spans="1:9" hidden="1" x14ac:dyDescent="0.3">
      <c r="A443" s="1">
        <v>45422</v>
      </c>
      <c r="B443" s="4">
        <f t="shared" si="18"/>
        <v>2024</v>
      </c>
      <c r="C443" s="4">
        <f t="shared" si="19"/>
        <v>5</v>
      </c>
      <c r="D443" s="2">
        <v>45422.423170972223</v>
      </c>
      <c r="E443" s="4">
        <f t="shared" si="20"/>
        <v>10</v>
      </c>
      <c r="F443" t="s">
        <v>21</v>
      </c>
      <c r="H443" s="3">
        <v>39</v>
      </c>
      <c r="I443" t="s">
        <v>7</v>
      </c>
    </row>
    <row r="444" spans="1:9" x14ac:dyDescent="0.3">
      <c r="A444" s="1">
        <v>45422</v>
      </c>
      <c r="B444" s="4">
        <f t="shared" si="18"/>
        <v>2024</v>
      </c>
      <c r="C444" s="4">
        <f t="shared" si="19"/>
        <v>5</v>
      </c>
      <c r="D444" s="2">
        <v>45422.65719341435</v>
      </c>
      <c r="E444" s="4">
        <f t="shared" si="20"/>
        <v>15</v>
      </c>
      <c r="F444" t="s">
        <v>3</v>
      </c>
      <c r="G444" t="s">
        <v>172</v>
      </c>
      <c r="H444" s="3">
        <v>37.72</v>
      </c>
      <c r="I444" t="s">
        <v>7</v>
      </c>
    </row>
    <row r="445" spans="1:9" x14ac:dyDescent="0.3">
      <c r="A445" s="1">
        <v>45422</v>
      </c>
      <c r="B445" s="4">
        <f t="shared" si="18"/>
        <v>2024</v>
      </c>
      <c r="C445" s="4">
        <f t="shared" si="19"/>
        <v>5</v>
      </c>
      <c r="D445" s="2">
        <v>45422.658015138892</v>
      </c>
      <c r="E445" s="4">
        <f t="shared" si="20"/>
        <v>15</v>
      </c>
      <c r="F445" t="s">
        <v>3</v>
      </c>
      <c r="G445" t="s">
        <v>172</v>
      </c>
      <c r="H445" s="3">
        <v>37.72</v>
      </c>
      <c r="I445" t="s">
        <v>7</v>
      </c>
    </row>
    <row r="446" spans="1:9" hidden="1" x14ac:dyDescent="0.3">
      <c r="A446" s="1">
        <v>45422</v>
      </c>
      <c r="B446" s="4">
        <f t="shared" si="18"/>
        <v>2024</v>
      </c>
      <c r="C446" s="4">
        <f t="shared" si="19"/>
        <v>5</v>
      </c>
      <c r="D446" s="2">
        <v>45422.680730138891</v>
      </c>
      <c r="E446" s="4">
        <f t="shared" si="20"/>
        <v>16</v>
      </c>
      <c r="F446" t="s">
        <v>21</v>
      </c>
      <c r="H446" s="3">
        <v>34</v>
      </c>
      <c r="I446" t="s">
        <v>14</v>
      </c>
    </row>
    <row r="447" spans="1:9" x14ac:dyDescent="0.3">
      <c r="A447" s="1">
        <v>45423</v>
      </c>
      <c r="B447" s="4">
        <f t="shared" si="18"/>
        <v>2024</v>
      </c>
      <c r="C447" s="4">
        <f t="shared" si="19"/>
        <v>5</v>
      </c>
      <c r="D447" s="2">
        <v>45423.486028680556</v>
      </c>
      <c r="E447" s="4">
        <f t="shared" si="20"/>
        <v>11</v>
      </c>
      <c r="F447" t="s">
        <v>3</v>
      </c>
      <c r="G447" t="s">
        <v>83</v>
      </c>
      <c r="H447" s="3">
        <v>37.72</v>
      </c>
      <c r="I447" t="s">
        <v>7</v>
      </c>
    </row>
    <row r="448" spans="1:9" hidden="1" x14ac:dyDescent="0.3">
      <c r="A448" s="1">
        <v>45423</v>
      </c>
      <c r="B448" s="4">
        <f t="shared" si="18"/>
        <v>2024</v>
      </c>
      <c r="C448" s="4">
        <f t="shared" si="19"/>
        <v>5</v>
      </c>
      <c r="D448" s="2">
        <v>45423.710227407406</v>
      </c>
      <c r="E448" s="4">
        <f t="shared" si="20"/>
        <v>17</v>
      </c>
      <c r="F448" t="s">
        <v>21</v>
      </c>
      <c r="H448" s="3">
        <v>39</v>
      </c>
      <c r="I448" t="s">
        <v>7</v>
      </c>
    </row>
    <row r="449" spans="1:9" x14ac:dyDescent="0.3">
      <c r="A449" s="1">
        <v>45423</v>
      </c>
      <c r="B449" s="4">
        <f t="shared" ref="B449:B512" si="21">YEAR(A449)</f>
        <v>2024</v>
      </c>
      <c r="C449" s="4">
        <f t="shared" ref="C449:C512" si="22">MONTH(A449)</f>
        <v>5</v>
      </c>
      <c r="D449" s="2">
        <v>45423.722574050924</v>
      </c>
      <c r="E449" s="4">
        <f t="shared" ref="E449:E512" si="23">HOUR(D449)</f>
        <v>17</v>
      </c>
      <c r="F449" t="s">
        <v>3</v>
      </c>
      <c r="G449" t="s">
        <v>19</v>
      </c>
      <c r="H449" s="3">
        <v>32.82</v>
      </c>
      <c r="I449" t="s">
        <v>14</v>
      </c>
    </row>
    <row r="450" spans="1:9" x14ac:dyDescent="0.3">
      <c r="A450" s="1">
        <v>45423</v>
      </c>
      <c r="B450" s="4">
        <f t="shared" si="21"/>
        <v>2024</v>
      </c>
      <c r="C450" s="4">
        <f t="shared" si="22"/>
        <v>5</v>
      </c>
      <c r="D450" s="2">
        <v>45423.723566168985</v>
      </c>
      <c r="E450" s="4">
        <f t="shared" si="23"/>
        <v>17</v>
      </c>
      <c r="F450" t="s">
        <v>3</v>
      </c>
      <c r="G450" t="s">
        <v>39</v>
      </c>
      <c r="H450" s="3">
        <v>37.72</v>
      </c>
      <c r="I450" t="s">
        <v>18</v>
      </c>
    </row>
    <row r="451" spans="1:9" x14ac:dyDescent="0.3">
      <c r="A451" s="1">
        <v>45423</v>
      </c>
      <c r="B451" s="4">
        <f t="shared" si="21"/>
        <v>2024</v>
      </c>
      <c r="C451" s="4">
        <f t="shared" si="22"/>
        <v>5</v>
      </c>
      <c r="D451" s="2">
        <v>45423.724968761577</v>
      </c>
      <c r="E451" s="4">
        <f t="shared" si="23"/>
        <v>17</v>
      </c>
      <c r="F451" t="s">
        <v>3</v>
      </c>
      <c r="G451" t="s">
        <v>54</v>
      </c>
      <c r="H451" s="3">
        <v>37.72</v>
      </c>
      <c r="I451" t="s">
        <v>43</v>
      </c>
    </row>
    <row r="452" spans="1:9" x14ac:dyDescent="0.3">
      <c r="A452" s="1">
        <v>45423</v>
      </c>
      <c r="B452" s="4">
        <f t="shared" si="21"/>
        <v>2024</v>
      </c>
      <c r="C452" s="4">
        <f t="shared" si="22"/>
        <v>5</v>
      </c>
      <c r="D452" s="2">
        <v>45423.728404305555</v>
      </c>
      <c r="E452" s="4">
        <f t="shared" si="23"/>
        <v>17</v>
      </c>
      <c r="F452" t="s">
        <v>3</v>
      </c>
      <c r="G452" t="s">
        <v>23</v>
      </c>
      <c r="H452" s="3">
        <v>32.82</v>
      </c>
      <c r="I452" t="s">
        <v>14</v>
      </c>
    </row>
    <row r="453" spans="1:9" x14ac:dyDescent="0.3">
      <c r="A453" s="1">
        <v>45423</v>
      </c>
      <c r="B453" s="4">
        <f t="shared" si="21"/>
        <v>2024</v>
      </c>
      <c r="C453" s="4">
        <f t="shared" si="22"/>
        <v>5</v>
      </c>
      <c r="D453" s="2">
        <v>45423.774771493052</v>
      </c>
      <c r="E453" s="4">
        <f t="shared" si="23"/>
        <v>18</v>
      </c>
      <c r="F453" t="s">
        <v>3</v>
      </c>
      <c r="G453" t="s">
        <v>129</v>
      </c>
      <c r="H453" s="3">
        <v>37.72</v>
      </c>
      <c r="I453" t="s">
        <v>43</v>
      </c>
    </row>
    <row r="454" spans="1:9" x14ac:dyDescent="0.3">
      <c r="A454" s="1">
        <v>45423</v>
      </c>
      <c r="B454" s="4">
        <f t="shared" si="21"/>
        <v>2024</v>
      </c>
      <c r="C454" s="4">
        <f t="shared" si="22"/>
        <v>5</v>
      </c>
      <c r="D454" s="2">
        <v>45423.818241851855</v>
      </c>
      <c r="E454" s="4">
        <f t="shared" si="23"/>
        <v>19</v>
      </c>
      <c r="F454" t="s">
        <v>3</v>
      </c>
      <c r="G454" t="s">
        <v>173</v>
      </c>
      <c r="H454" s="3">
        <v>37.72</v>
      </c>
      <c r="I454" t="s">
        <v>7</v>
      </c>
    </row>
    <row r="455" spans="1:9" x14ac:dyDescent="0.3">
      <c r="A455" s="1">
        <v>45424</v>
      </c>
      <c r="B455" s="4">
        <f t="shared" si="21"/>
        <v>2024</v>
      </c>
      <c r="C455" s="4">
        <f t="shared" si="22"/>
        <v>5</v>
      </c>
      <c r="D455" s="2">
        <v>45424.431047592596</v>
      </c>
      <c r="E455" s="4">
        <f t="shared" si="23"/>
        <v>10</v>
      </c>
      <c r="F455" t="s">
        <v>3</v>
      </c>
      <c r="G455" t="s">
        <v>6</v>
      </c>
      <c r="H455" s="3">
        <v>37.72</v>
      </c>
      <c r="I455" t="s">
        <v>7</v>
      </c>
    </row>
    <row r="456" spans="1:9" x14ac:dyDescent="0.3">
      <c r="A456" s="1">
        <v>45424</v>
      </c>
      <c r="B456" s="4">
        <f t="shared" si="21"/>
        <v>2024</v>
      </c>
      <c r="C456" s="4">
        <f t="shared" si="22"/>
        <v>5</v>
      </c>
      <c r="D456" s="2">
        <v>45424.558373437503</v>
      </c>
      <c r="E456" s="4">
        <f t="shared" si="23"/>
        <v>13</v>
      </c>
      <c r="F456" t="s">
        <v>3</v>
      </c>
      <c r="G456" t="s">
        <v>174</v>
      </c>
      <c r="H456" s="3">
        <v>37.72</v>
      </c>
      <c r="I456" t="s">
        <v>7</v>
      </c>
    </row>
    <row r="457" spans="1:9" x14ac:dyDescent="0.3">
      <c r="A457" s="1">
        <v>45424</v>
      </c>
      <c r="B457" s="4">
        <f t="shared" si="21"/>
        <v>2024</v>
      </c>
      <c r="C457" s="4">
        <f t="shared" si="22"/>
        <v>5</v>
      </c>
      <c r="D457" s="2">
        <v>45424.560868553242</v>
      </c>
      <c r="E457" s="4">
        <f t="shared" si="23"/>
        <v>13</v>
      </c>
      <c r="F457" t="s">
        <v>3</v>
      </c>
      <c r="G457" t="s">
        <v>175</v>
      </c>
      <c r="H457" s="3">
        <v>27.92</v>
      </c>
      <c r="I457" t="s">
        <v>11</v>
      </c>
    </row>
    <row r="458" spans="1:9" x14ac:dyDescent="0.3">
      <c r="A458" s="1">
        <v>45424</v>
      </c>
      <c r="B458" s="4">
        <f t="shared" si="21"/>
        <v>2024</v>
      </c>
      <c r="C458" s="4">
        <f t="shared" si="22"/>
        <v>5</v>
      </c>
      <c r="D458" s="2">
        <v>45424.63634045139</v>
      </c>
      <c r="E458" s="4">
        <f t="shared" si="23"/>
        <v>15</v>
      </c>
      <c r="F458" t="s">
        <v>3</v>
      </c>
      <c r="G458" t="s">
        <v>91</v>
      </c>
      <c r="H458" s="3">
        <v>37.72</v>
      </c>
      <c r="I458" t="s">
        <v>7</v>
      </c>
    </row>
    <row r="459" spans="1:9" x14ac:dyDescent="0.3">
      <c r="A459" s="1">
        <v>45424</v>
      </c>
      <c r="B459" s="4">
        <f t="shared" si="21"/>
        <v>2024</v>
      </c>
      <c r="C459" s="4">
        <f t="shared" si="22"/>
        <v>5</v>
      </c>
      <c r="D459" s="2">
        <v>45424.651416921297</v>
      </c>
      <c r="E459" s="4">
        <f t="shared" si="23"/>
        <v>15</v>
      </c>
      <c r="F459" t="s">
        <v>3</v>
      </c>
      <c r="G459" t="s">
        <v>176</v>
      </c>
      <c r="H459" s="3">
        <v>32.82</v>
      </c>
      <c r="I459" t="s">
        <v>14</v>
      </c>
    </row>
    <row r="460" spans="1:9" x14ac:dyDescent="0.3">
      <c r="A460" s="1">
        <v>45424</v>
      </c>
      <c r="B460" s="4">
        <f t="shared" si="21"/>
        <v>2024</v>
      </c>
      <c r="C460" s="4">
        <f t="shared" si="22"/>
        <v>5</v>
      </c>
      <c r="D460" s="2">
        <v>45424.661283229165</v>
      </c>
      <c r="E460" s="4">
        <f t="shared" si="23"/>
        <v>15</v>
      </c>
      <c r="F460" t="s">
        <v>3</v>
      </c>
      <c r="G460" t="s">
        <v>177</v>
      </c>
      <c r="H460" s="3">
        <v>32.82</v>
      </c>
      <c r="I460" t="s">
        <v>14</v>
      </c>
    </row>
    <row r="461" spans="1:9" x14ac:dyDescent="0.3">
      <c r="A461" s="1">
        <v>45424</v>
      </c>
      <c r="B461" s="4">
        <f t="shared" si="21"/>
        <v>2024</v>
      </c>
      <c r="C461" s="4">
        <f t="shared" si="22"/>
        <v>5</v>
      </c>
      <c r="D461" s="2">
        <v>45424.66968903935</v>
      </c>
      <c r="E461" s="4">
        <f t="shared" si="23"/>
        <v>16</v>
      </c>
      <c r="F461" t="s">
        <v>3</v>
      </c>
      <c r="G461" t="s">
        <v>23</v>
      </c>
      <c r="H461" s="3">
        <v>32.82</v>
      </c>
      <c r="I461" t="s">
        <v>14</v>
      </c>
    </row>
    <row r="462" spans="1:9" x14ac:dyDescent="0.3">
      <c r="A462" s="1">
        <v>45424</v>
      </c>
      <c r="B462" s="4">
        <f t="shared" si="21"/>
        <v>2024</v>
      </c>
      <c r="C462" s="4">
        <f t="shared" si="22"/>
        <v>5</v>
      </c>
      <c r="D462" s="2">
        <v>45424.820492696759</v>
      </c>
      <c r="E462" s="4">
        <f t="shared" si="23"/>
        <v>19</v>
      </c>
      <c r="F462" t="s">
        <v>3</v>
      </c>
      <c r="G462" t="s">
        <v>19</v>
      </c>
      <c r="H462" s="3">
        <v>32.82</v>
      </c>
      <c r="I462" t="s">
        <v>14</v>
      </c>
    </row>
    <row r="463" spans="1:9" x14ac:dyDescent="0.3">
      <c r="A463" s="1">
        <v>45425</v>
      </c>
      <c r="B463" s="4">
        <f t="shared" si="21"/>
        <v>2024</v>
      </c>
      <c r="C463" s="4">
        <f t="shared" si="22"/>
        <v>5</v>
      </c>
      <c r="D463" s="2">
        <v>45425.461034120373</v>
      </c>
      <c r="E463" s="4">
        <f t="shared" si="23"/>
        <v>11</v>
      </c>
      <c r="F463" t="s">
        <v>3</v>
      </c>
      <c r="G463" t="s">
        <v>178</v>
      </c>
      <c r="H463" s="3">
        <v>32.82</v>
      </c>
      <c r="I463" t="s">
        <v>14</v>
      </c>
    </row>
    <row r="464" spans="1:9" hidden="1" x14ac:dyDescent="0.3">
      <c r="A464" s="1">
        <v>45425</v>
      </c>
      <c r="B464" s="4">
        <f t="shared" si="21"/>
        <v>2024</v>
      </c>
      <c r="C464" s="4">
        <f t="shared" si="22"/>
        <v>5</v>
      </c>
      <c r="D464" s="2">
        <v>45425.64665234954</v>
      </c>
      <c r="E464" s="4">
        <f t="shared" si="23"/>
        <v>15</v>
      </c>
      <c r="F464" t="s">
        <v>21</v>
      </c>
      <c r="H464" s="3">
        <v>29</v>
      </c>
      <c r="I464" t="s">
        <v>11</v>
      </c>
    </row>
    <row r="465" spans="1:9" hidden="1" x14ac:dyDescent="0.3">
      <c r="A465" s="1">
        <v>45425</v>
      </c>
      <c r="B465" s="4">
        <f t="shared" si="21"/>
        <v>2024</v>
      </c>
      <c r="C465" s="4">
        <f t="shared" si="22"/>
        <v>5</v>
      </c>
      <c r="D465" s="2">
        <v>45425.647116979169</v>
      </c>
      <c r="E465" s="4">
        <f t="shared" si="23"/>
        <v>15</v>
      </c>
      <c r="F465" t="s">
        <v>21</v>
      </c>
      <c r="H465" s="3">
        <v>29</v>
      </c>
      <c r="I465" t="s">
        <v>11</v>
      </c>
    </row>
    <row r="466" spans="1:9" x14ac:dyDescent="0.3">
      <c r="A466" s="1">
        <v>45426</v>
      </c>
      <c r="B466" s="4">
        <f t="shared" si="21"/>
        <v>2024</v>
      </c>
      <c r="C466" s="4">
        <f t="shared" si="22"/>
        <v>5</v>
      </c>
      <c r="D466" s="2">
        <v>45426.359890983797</v>
      </c>
      <c r="E466" s="4">
        <f t="shared" si="23"/>
        <v>8</v>
      </c>
      <c r="F466" t="s">
        <v>3</v>
      </c>
      <c r="G466" t="s">
        <v>23</v>
      </c>
      <c r="H466" s="3">
        <v>27.92</v>
      </c>
      <c r="I466" t="s">
        <v>11</v>
      </c>
    </row>
    <row r="467" spans="1:9" x14ac:dyDescent="0.3">
      <c r="A467" s="1">
        <v>45426</v>
      </c>
      <c r="B467" s="4">
        <f t="shared" si="21"/>
        <v>2024</v>
      </c>
      <c r="C467" s="4">
        <f t="shared" si="22"/>
        <v>5</v>
      </c>
      <c r="D467" s="2">
        <v>45426.360711284724</v>
      </c>
      <c r="E467" s="4">
        <f t="shared" si="23"/>
        <v>8</v>
      </c>
      <c r="F467" t="s">
        <v>3</v>
      </c>
      <c r="G467" t="s">
        <v>23</v>
      </c>
      <c r="H467" s="3">
        <v>27.92</v>
      </c>
      <c r="I467" t="s">
        <v>11</v>
      </c>
    </row>
    <row r="468" spans="1:9" x14ac:dyDescent="0.3">
      <c r="A468" s="1">
        <v>45426</v>
      </c>
      <c r="B468" s="4">
        <f t="shared" si="21"/>
        <v>2024</v>
      </c>
      <c r="C468" s="4">
        <f t="shared" si="22"/>
        <v>5</v>
      </c>
      <c r="D468" s="2">
        <v>45426.361313472225</v>
      </c>
      <c r="E468" s="4">
        <f t="shared" si="23"/>
        <v>8</v>
      </c>
      <c r="F468" t="s">
        <v>3</v>
      </c>
      <c r="G468" t="s">
        <v>23</v>
      </c>
      <c r="H468" s="3">
        <v>27.92</v>
      </c>
      <c r="I468" t="s">
        <v>11</v>
      </c>
    </row>
    <row r="469" spans="1:9" x14ac:dyDescent="0.3">
      <c r="A469" s="1">
        <v>45426</v>
      </c>
      <c r="B469" s="4">
        <f t="shared" si="21"/>
        <v>2024</v>
      </c>
      <c r="C469" s="4">
        <f t="shared" si="22"/>
        <v>5</v>
      </c>
      <c r="D469" s="2">
        <v>45426.430129328706</v>
      </c>
      <c r="E469" s="4">
        <f t="shared" si="23"/>
        <v>10</v>
      </c>
      <c r="F469" t="s">
        <v>3</v>
      </c>
      <c r="G469" t="s">
        <v>23</v>
      </c>
      <c r="H469" s="3">
        <v>37.72</v>
      </c>
      <c r="I469" t="s">
        <v>43</v>
      </c>
    </row>
    <row r="470" spans="1:9" x14ac:dyDescent="0.3">
      <c r="A470" s="1">
        <v>45426</v>
      </c>
      <c r="B470" s="4">
        <f t="shared" si="21"/>
        <v>2024</v>
      </c>
      <c r="C470" s="4">
        <f t="shared" si="22"/>
        <v>5</v>
      </c>
      <c r="D470" s="2">
        <v>45426.480895509259</v>
      </c>
      <c r="E470" s="4">
        <f t="shared" si="23"/>
        <v>11</v>
      </c>
      <c r="F470" t="s">
        <v>3</v>
      </c>
      <c r="G470" t="s">
        <v>179</v>
      </c>
      <c r="H470" s="3">
        <v>37.72</v>
      </c>
      <c r="I470" t="s">
        <v>7</v>
      </c>
    </row>
    <row r="471" spans="1:9" x14ac:dyDescent="0.3">
      <c r="A471" s="1">
        <v>45426</v>
      </c>
      <c r="B471" s="4">
        <f t="shared" si="21"/>
        <v>2024</v>
      </c>
      <c r="C471" s="4">
        <f t="shared" si="22"/>
        <v>5</v>
      </c>
      <c r="D471" s="2">
        <v>45426.482093182873</v>
      </c>
      <c r="E471" s="4">
        <f t="shared" si="23"/>
        <v>11</v>
      </c>
      <c r="F471" t="s">
        <v>3</v>
      </c>
      <c r="G471" t="s">
        <v>179</v>
      </c>
      <c r="H471" s="3">
        <v>37.72</v>
      </c>
      <c r="I471" t="s">
        <v>43</v>
      </c>
    </row>
    <row r="472" spans="1:9" x14ac:dyDescent="0.3">
      <c r="A472" s="1">
        <v>45426</v>
      </c>
      <c r="B472" s="4">
        <f t="shared" si="21"/>
        <v>2024</v>
      </c>
      <c r="C472" s="4">
        <f t="shared" si="22"/>
        <v>5</v>
      </c>
      <c r="D472" s="2">
        <v>45426.586742824074</v>
      </c>
      <c r="E472" s="4">
        <f t="shared" si="23"/>
        <v>14</v>
      </c>
      <c r="F472" t="s">
        <v>3</v>
      </c>
      <c r="G472" t="s">
        <v>38</v>
      </c>
      <c r="H472" s="3">
        <v>37.72</v>
      </c>
      <c r="I472" t="s">
        <v>43</v>
      </c>
    </row>
    <row r="473" spans="1:9" x14ac:dyDescent="0.3">
      <c r="A473" s="1">
        <v>45426</v>
      </c>
      <c r="B473" s="4">
        <f t="shared" si="21"/>
        <v>2024</v>
      </c>
      <c r="C473" s="4">
        <f t="shared" si="22"/>
        <v>5</v>
      </c>
      <c r="D473" s="2">
        <v>45426.587504374998</v>
      </c>
      <c r="E473" s="4">
        <f t="shared" si="23"/>
        <v>14</v>
      </c>
      <c r="F473" t="s">
        <v>3</v>
      </c>
      <c r="G473" t="s">
        <v>19</v>
      </c>
      <c r="H473" s="3">
        <v>32.82</v>
      </c>
      <c r="I473" t="s">
        <v>14</v>
      </c>
    </row>
    <row r="474" spans="1:9" x14ac:dyDescent="0.3">
      <c r="A474" s="1">
        <v>45426</v>
      </c>
      <c r="B474" s="4">
        <f t="shared" si="21"/>
        <v>2024</v>
      </c>
      <c r="C474" s="4">
        <f t="shared" si="22"/>
        <v>5</v>
      </c>
      <c r="D474" s="2">
        <v>45426.626328530096</v>
      </c>
      <c r="E474" s="4">
        <f t="shared" si="23"/>
        <v>15</v>
      </c>
      <c r="F474" t="s">
        <v>3</v>
      </c>
      <c r="G474" t="s">
        <v>54</v>
      </c>
      <c r="H474" s="3">
        <v>27.92</v>
      </c>
      <c r="I474" t="s">
        <v>11</v>
      </c>
    </row>
    <row r="475" spans="1:9" x14ac:dyDescent="0.3">
      <c r="A475" s="1">
        <v>45426</v>
      </c>
      <c r="B475" s="4">
        <f t="shared" si="21"/>
        <v>2024</v>
      </c>
      <c r="C475" s="4">
        <f t="shared" si="22"/>
        <v>5</v>
      </c>
      <c r="D475" s="2">
        <v>45426.706912314818</v>
      </c>
      <c r="E475" s="4">
        <f t="shared" si="23"/>
        <v>16</v>
      </c>
      <c r="F475" t="s">
        <v>3</v>
      </c>
      <c r="G475" t="s">
        <v>180</v>
      </c>
      <c r="H475" s="3">
        <v>32.82</v>
      </c>
      <c r="I475" t="s">
        <v>14</v>
      </c>
    </row>
    <row r="476" spans="1:9" x14ac:dyDescent="0.3">
      <c r="A476" s="1">
        <v>45426</v>
      </c>
      <c r="B476" s="4">
        <f t="shared" si="21"/>
        <v>2024</v>
      </c>
      <c r="C476" s="4">
        <f t="shared" si="22"/>
        <v>5</v>
      </c>
      <c r="D476" s="2">
        <v>45426.707756875003</v>
      </c>
      <c r="E476" s="4">
        <f t="shared" si="23"/>
        <v>16</v>
      </c>
      <c r="F476" t="s">
        <v>3</v>
      </c>
      <c r="G476" t="s">
        <v>180</v>
      </c>
      <c r="H476" s="3">
        <v>37.72</v>
      </c>
      <c r="I476" t="s">
        <v>43</v>
      </c>
    </row>
    <row r="477" spans="1:9" x14ac:dyDescent="0.3">
      <c r="A477" s="1">
        <v>45426</v>
      </c>
      <c r="B477" s="4">
        <f t="shared" si="21"/>
        <v>2024</v>
      </c>
      <c r="C477" s="4">
        <f t="shared" si="22"/>
        <v>5</v>
      </c>
      <c r="D477" s="2">
        <v>45426.952375312503</v>
      </c>
      <c r="E477" s="4">
        <f t="shared" si="23"/>
        <v>22</v>
      </c>
      <c r="F477" t="s">
        <v>3</v>
      </c>
      <c r="G477" t="s">
        <v>181</v>
      </c>
      <c r="H477" s="3">
        <v>37.72</v>
      </c>
      <c r="I477" t="s">
        <v>9</v>
      </c>
    </row>
    <row r="478" spans="1:9" x14ac:dyDescent="0.3">
      <c r="A478" s="1">
        <v>45427</v>
      </c>
      <c r="B478" s="4">
        <f t="shared" si="21"/>
        <v>2024</v>
      </c>
      <c r="C478" s="4">
        <f t="shared" si="22"/>
        <v>5</v>
      </c>
      <c r="D478" s="2">
        <v>45427.361176631945</v>
      </c>
      <c r="E478" s="4">
        <f t="shared" si="23"/>
        <v>8</v>
      </c>
      <c r="F478" t="s">
        <v>3</v>
      </c>
      <c r="G478" t="s">
        <v>182</v>
      </c>
      <c r="H478" s="3">
        <v>37.72</v>
      </c>
      <c r="I478" t="s">
        <v>7</v>
      </c>
    </row>
    <row r="479" spans="1:9" x14ac:dyDescent="0.3">
      <c r="A479" s="1">
        <v>45427</v>
      </c>
      <c r="B479" s="4">
        <f t="shared" si="21"/>
        <v>2024</v>
      </c>
      <c r="C479" s="4">
        <f t="shared" si="22"/>
        <v>5</v>
      </c>
      <c r="D479" s="2">
        <v>45427.468279548608</v>
      </c>
      <c r="E479" s="4">
        <f t="shared" si="23"/>
        <v>11</v>
      </c>
      <c r="F479" t="s">
        <v>3</v>
      </c>
      <c r="G479" t="s">
        <v>23</v>
      </c>
      <c r="H479" s="3">
        <v>23.02</v>
      </c>
      <c r="I479" t="s">
        <v>35</v>
      </c>
    </row>
    <row r="480" spans="1:9" x14ac:dyDescent="0.3">
      <c r="A480" s="1">
        <v>45427</v>
      </c>
      <c r="B480" s="4">
        <f t="shared" si="21"/>
        <v>2024</v>
      </c>
      <c r="C480" s="4">
        <f t="shared" si="22"/>
        <v>5</v>
      </c>
      <c r="D480" s="2">
        <v>45427.47164408565</v>
      </c>
      <c r="E480" s="4">
        <f t="shared" si="23"/>
        <v>11</v>
      </c>
      <c r="F480" t="s">
        <v>3</v>
      </c>
      <c r="G480" t="s">
        <v>23</v>
      </c>
      <c r="H480" s="3">
        <v>27.92</v>
      </c>
      <c r="I480" t="s">
        <v>11</v>
      </c>
    </row>
    <row r="481" spans="1:9" x14ac:dyDescent="0.3">
      <c r="A481" s="1">
        <v>45427</v>
      </c>
      <c r="B481" s="4">
        <f t="shared" si="21"/>
        <v>2024</v>
      </c>
      <c r="C481" s="4">
        <f t="shared" si="22"/>
        <v>5</v>
      </c>
      <c r="D481" s="2">
        <v>45427.565684050925</v>
      </c>
      <c r="E481" s="4">
        <f t="shared" si="23"/>
        <v>13</v>
      </c>
      <c r="F481" t="s">
        <v>3</v>
      </c>
      <c r="G481" t="s">
        <v>10</v>
      </c>
      <c r="H481" s="3">
        <v>27.92</v>
      </c>
      <c r="I481" t="s">
        <v>11</v>
      </c>
    </row>
    <row r="482" spans="1:9" x14ac:dyDescent="0.3">
      <c r="A482" s="1">
        <v>45427</v>
      </c>
      <c r="B482" s="4">
        <f t="shared" si="21"/>
        <v>2024</v>
      </c>
      <c r="C482" s="4">
        <f t="shared" si="22"/>
        <v>5</v>
      </c>
      <c r="D482" s="2">
        <v>45427.566309849535</v>
      </c>
      <c r="E482" s="4">
        <f t="shared" si="23"/>
        <v>13</v>
      </c>
      <c r="F482" t="s">
        <v>3</v>
      </c>
      <c r="G482" t="s">
        <v>10</v>
      </c>
      <c r="H482" s="3">
        <v>27.92</v>
      </c>
      <c r="I482" t="s">
        <v>11</v>
      </c>
    </row>
    <row r="483" spans="1:9" x14ac:dyDescent="0.3">
      <c r="A483" s="1">
        <v>45427</v>
      </c>
      <c r="B483" s="4">
        <f t="shared" si="21"/>
        <v>2024</v>
      </c>
      <c r="C483" s="4">
        <f t="shared" si="22"/>
        <v>5</v>
      </c>
      <c r="D483" s="2">
        <v>45427.566983090277</v>
      </c>
      <c r="E483" s="4">
        <f t="shared" si="23"/>
        <v>13</v>
      </c>
      <c r="F483" t="s">
        <v>3</v>
      </c>
      <c r="G483" t="s">
        <v>10</v>
      </c>
      <c r="H483" s="3">
        <v>27.92</v>
      </c>
      <c r="I483" t="s">
        <v>11</v>
      </c>
    </row>
    <row r="484" spans="1:9" x14ac:dyDescent="0.3">
      <c r="A484" s="1">
        <v>45427</v>
      </c>
      <c r="B484" s="4">
        <f t="shared" si="21"/>
        <v>2024</v>
      </c>
      <c r="C484" s="4">
        <f t="shared" si="22"/>
        <v>5</v>
      </c>
      <c r="D484" s="2">
        <v>45427.580196747687</v>
      </c>
      <c r="E484" s="4">
        <f t="shared" si="23"/>
        <v>13</v>
      </c>
      <c r="F484" t="s">
        <v>3</v>
      </c>
      <c r="G484" t="s">
        <v>178</v>
      </c>
      <c r="H484" s="3">
        <v>32.82</v>
      </c>
      <c r="I484" t="s">
        <v>14</v>
      </c>
    </row>
    <row r="485" spans="1:9" hidden="1" x14ac:dyDescent="0.3">
      <c r="A485" s="1">
        <v>45427</v>
      </c>
      <c r="B485" s="4">
        <f t="shared" si="21"/>
        <v>2024</v>
      </c>
      <c r="C485" s="4">
        <f t="shared" si="22"/>
        <v>5</v>
      </c>
      <c r="D485" s="2">
        <v>45427.609847766202</v>
      </c>
      <c r="E485" s="4">
        <f t="shared" si="23"/>
        <v>14</v>
      </c>
      <c r="F485" t="s">
        <v>21</v>
      </c>
      <c r="H485" s="3">
        <v>29</v>
      </c>
      <c r="I485" t="s">
        <v>11</v>
      </c>
    </row>
    <row r="486" spans="1:9" x14ac:dyDescent="0.3">
      <c r="A486" s="1">
        <v>45427</v>
      </c>
      <c r="B486" s="4">
        <f t="shared" si="21"/>
        <v>2024</v>
      </c>
      <c r="C486" s="4">
        <f t="shared" si="22"/>
        <v>5</v>
      </c>
      <c r="D486" s="2">
        <v>45427.610328090275</v>
      </c>
      <c r="E486" s="4">
        <f t="shared" si="23"/>
        <v>14</v>
      </c>
      <c r="F486" t="s">
        <v>3</v>
      </c>
      <c r="G486" t="s">
        <v>183</v>
      </c>
      <c r="H486" s="3">
        <v>27.92</v>
      </c>
      <c r="I486" t="s">
        <v>28</v>
      </c>
    </row>
    <row r="487" spans="1:9" x14ac:dyDescent="0.3">
      <c r="A487" s="1">
        <v>45427</v>
      </c>
      <c r="B487" s="4">
        <f t="shared" si="21"/>
        <v>2024</v>
      </c>
      <c r="C487" s="4">
        <f t="shared" si="22"/>
        <v>5</v>
      </c>
      <c r="D487" s="2">
        <v>45427.610930173614</v>
      </c>
      <c r="E487" s="4">
        <f t="shared" si="23"/>
        <v>14</v>
      </c>
      <c r="F487" t="s">
        <v>3</v>
      </c>
      <c r="G487" t="s">
        <v>23</v>
      </c>
      <c r="H487" s="3">
        <v>27.92</v>
      </c>
      <c r="I487" t="s">
        <v>28</v>
      </c>
    </row>
    <row r="488" spans="1:9" x14ac:dyDescent="0.3">
      <c r="A488" s="1">
        <v>45427</v>
      </c>
      <c r="B488" s="4">
        <f t="shared" si="21"/>
        <v>2024</v>
      </c>
      <c r="C488" s="4">
        <f t="shared" si="22"/>
        <v>5</v>
      </c>
      <c r="D488" s="2">
        <v>45427.728456249999</v>
      </c>
      <c r="E488" s="4">
        <f t="shared" si="23"/>
        <v>17</v>
      </c>
      <c r="F488" t="s">
        <v>3</v>
      </c>
      <c r="G488" t="s">
        <v>184</v>
      </c>
      <c r="H488" s="3">
        <v>23.02</v>
      </c>
      <c r="I488" t="s">
        <v>35</v>
      </c>
    </row>
    <row r="489" spans="1:9" x14ac:dyDescent="0.3">
      <c r="A489" s="1">
        <v>45427</v>
      </c>
      <c r="B489" s="4">
        <f t="shared" si="21"/>
        <v>2024</v>
      </c>
      <c r="C489" s="4">
        <f t="shared" si="22"/>
        <v>5</v>
      </c>
      <c r="D489" s="2">
        <v>45427.847624641203</v>
      </c>
      <c r="E489" s="4">
        <f t="shared" si="23"/>
        <v>20</v>
      </c>
      <c r="F489" t="s">
        <v>3</v>
      </c>
      <c r="G489" t="s">
        <v>185</v>
      </c>
      <c r="H489" s="3">
        <v>37.72</v>
      </c>
      <c r="I489" t="s">
        <v>43</v>
      </c>
    </row>
    <row r="490" spans="1:9" x14ac:dyDescent="0.3">
      <c r="A490" s="1">
        <v>45428</v>
      </c>
      <c r="B490" s="4">
        <f t="shared" si="21"/>
        <v>2024</v>
      </c>
      <c r="C490" s="4">
        <f t="shared" si="22"/>
        <v>5</v>
      </c>
      <c r="D490" s="2">
        <v>45428.443546967595</v>
      </c>
      <c r="E490" s="4">
        <f t="shared" si="23"/>
        <v>10</v>
      </c>
      <c r="F490" t="s">
        <v>3</v>
      </c>
      <c r="G490" t="s">
        <v>111</v>
      </c>
      <c r="H490" s="3">
        <v>32.82</v>
      </c>
      <c r="I490" t="s">
        <v>14</v>
      </c>
    </row>
    <row r="491" spans="1:9" x14ac:dyDescent="0.3">
      <c r="A491" s="1">
        <v>45428</v>
      </c>
      <c r="B491" s="4">
        <f t="shared" si="21"/>
        <v>2024</v>
      </c>
      <c r="C491" s="4">
        <f t="shared" si="22"/>
        <v>5</v>
      </c>
      <c r="D491" s="2">
        <v>45428.444322118055</v>
      </c>
      <c r="E491" s="4">
        <f t="shared" si="23"/>
        <v>10</v>
      </c>
      <c r="F491" t="s">
        <v>3</v>
      </c>
      <c r="G491" t="s">
        <v>186</v>
      </c>
      <c r="H491" s="3">
        <v>32.82</v>
      </c>
      <c r="I491" t="s">
        <v>14</v>
      </c>
    </row>
    <row r="492" spans="1:9" hidden="1" x14ac:dyDescent="0.3">
      <c r="A492" s="1">
        <v>45428</v>
      </c>
      <c r="B492" s="4">
        <f t="shared" si="21"/>
        <v>2024</v>
      </c>
      <c r="C492" s="4">
        <f t="shared" si="22"/>
        <v>5</v>
      </c>
      <c r="D492" s="2">
        <v>45428.488082002317</v>
      </c>
      <c r="E492" s="4">
        <f t="shared" si="23"/>
        <v>11</v>
      </c>
      <c r="F492" t="s">
        <v>21</v>
      </c>
      <c r="H492" s="3">
        <v>39</v>
      </c>
      <c r="I492" t="s">
        <v>7</v>
      </c>
    </row>
    <row r="493" spans="1:9" hidden="1" x14ac:dyDescent="0.3">
      <c r="A493" s="1">
        <v>45428</v>
      </c>
      <c r="B493" s="4">
        <f t="shared" si="21"/>
        <v>2024</v>
      </c>
      <c r="C493" s="4">
        <f t="shared" si="22"/>
        <v>5</v>
      </c>
      <c r="D493" s="2">
        <v>45428.489129756941</v>
      </c>
      <c r="E493" s="4">
        <f t="shared" si="23"/>
        <v>11</v>
      </c>
      <c r="F493" t="s">
        <v>21</v>
      </c>
      <c r="H493" s="3">
        <v>39</v>
      </c>
      <c r="I493" t="s">
        <v>43</v>
      </c>
    </row>
    <row r="494" spans="1:9" x14ac:dyDescent="0.3">
      <c r="A494" s="1">
        <v>45428</v>
      </c>
      <c r="B494" s="4">
        <f t="shared" si="21"/>
        <v>2024</v>
      </c>
      <c r="C494" s="4">
        <f t="shared" si="22"/>
        <v>5</v>
      </c>
      <c r="D494" s="2">
        <v>45428.509723344905</v>
      </c>
      <c r="E494" s="4">
        <f t="shared" si="23"/>
        <v>12</v>
      </c>
      <c r="F494" t="s">
        <v>3</v>
      </c>
      <c r="G494" t="s">
        <v>187</v>
      </c>
      <c r="H494" s="3">
        <v>32.82</v>
      </c>
      <c r="I494" t="s">
        <v>14</v>
      </c>
    </row>
    <row r="495" spans="1:9" x14ac:dyDescent="0.3">
      <c r="A495" s="1">
        <v>45428</v>
      </c>
      <c r="B495" s="4">
        <f t="shared" si="21"/>
        <v>2024</v>
      </c>
      <c r="C495" s="4">
        <f t="shared" si="22"/>
        <v>5</v>
      </c>
      <c r="D495" s="2">
        <v>45428.635605497686</v>
      </c>
      <c r="E495" s="4">
        <f t="shared" si="23"/>
        <v>15</v>
      </c>
      <c r="F495" t="s">
        <v>3</v>
      </c>
      <c r="G495" t="s">
        <v>188</v>
      </c>
      <c r="H495" s="3">
        <v>37.72</v>
      </c>
      <c r="I495" t="s">
        <v>9</v>
      </c>
    </row>
    <row r="496" spans="1:9" x14ac:dyDescent="0.3">
      <c r="A496" s="1">
        <v>45428</v>
      </c>
      <c r="B496" s="4">
        <f t="shared" si="21"/>
        <v>2024</v>
      </c>
      <c r="C496" s="4">
        <f t="shared" si="22"/>
        <v>5</v>
      </c>
      <c r="D496" s="2">
        <v>45428.73925402778</v>
      </c>
      <c r="E496" s="4">
        <f t="shared" si="23"/>
        <v>17</v>
      </c>
      <c r="F496" t="s">
        <v>3</v>
      </c>
      <c r="G496" t="s">
        <v>83</v>
      </c>
      <c r="H496" s="3">
        <v>37.72</v>
      </c>
      <c r="I496" t="s">
        <v>7</v>
      </c>
    </row>
    <row r="497" spans="1:9" x14ac:dyDescent="0.3">
      <c r="A497" s="1">
        <v>45428</v>
      </c>
      <c r="B497" s="4">
        <f t="shared" si="21"/>
        <v>2024</v>
      </c>
      <c r="C497" s="4">
        <f t="shared" si="22"/>
        <v>5</v>
      </c>
      <c r="D497" s="2">
        <v>45428.758992291667</v>
      </c>
      <c r="E497" s="4">
        <f t="shared" si="23"/>
        <v>18</v>
      </c>
      <c r="F497" t="s">
        <v>3</v>
      </c>
      <c r="G497" t="s">
        <v>189</v>
      </c>
      <c r="H497" s="3">
        <v>37.72</v>
      </c>
      <c r="I497" t="s">
        <v>9</v>
      </c>
    </row>
    <row r="498" spans="1:9" x14ac:dyDescent="0.3">
      <c r="A498" s="1">
        <v>45428</v>
      </c>
      <c r="B498" s="4">
        <f t="shared" si="21"/>
        <v>2024</v>
      </c>
      <c r="C498" s="4">
        <f t="shared" si="22"/>
        <v>5</v>
      </c>
      <c r="D498" s="2">
        <v>45428.759701284725</v>
      </c>
      <c r="E498" s="4">
        <f t="shared" si="23"/>
        <v>18</v>
      </c>
      <c r="F498" t="s">
        <v>3</v>
      </c>
      <c r="G498" t="s">
        <v>189</v>
      </c>
      <c r="H498" s="3">
        <v>37.72</v>
      </c>
      <c r="I498" t="s">
        <v>7</v>
      </c>
    </row>
    <row r="499" spans="1:9" x14ac:dyDescent="0.3">
      <c r="A499" s="1">
        <v>45429</v>
      </c>
      <c r="B499" s="4">
        <f t="shared" si="21"/>
        <v>2024</v>
      </c>
      <c r="C499" s="4">
        <f t="shared" si="22"/>
        <v>5</v>
      </c>
      <c r="D499" s="2">
        <v>45429.37556083333</v>
      </c>
      <c r="E499" s="4">
        <f t="shared" si="23"/>
        <v>9</v>
      </c>
      <c r="F499" t="s">
        <v>3</v>
      </c>
      <c r="G499" t="s">
        <v>47</v>
      </c>
      <c r="H499" s="3">
        <v>27.92</v>
      </c>
      <c r="I499" t="s">
        <v>11</v>
      </c>
    </row>
    <row r="500" spans="1:9" x14ac:dyDescent="0.3">
      <c r="A500" s="1">
        <v>45429</v>
      </c>
      <c r="B500" s="4">
        <f t="shared" si="21"/>
        <v>2024</v>
      </c>
      <c r="C500" s="4">
        <f t="shared" si="22"/>
        <v>5</v>
      </c>
      <c r="D500" s="2">
        <v>45429.479485567128</v>
      </c>
      <c r="E500" s="4">
        <f t="shared" si="23"/>
        <v>11</v>
      </c>
      <c r="F500" t="s">
        <v>3</v>
      </c>
      <c r="G500" t="s">
        <v>178</v>
      </c>
      <c r="H500" s="3">
        <v>32.82</v>
      </c>
      <c r="I500" t="s">
        <v>14</v>
      </c>
    </row>
    <row r="501" spans="1:9" hidden="1" x14ac:dyDescent="0.3">
      <c r="A501" s="1">
        <v>45429</v>
      </c>
      <c r="B501" s="4">
        <f t="shared" si="21"/>
        <v>2024</v>
      </c>
      <c r="C501" s="4">
        <f t="shared" si="22"/>
        <v>5</v>
      </c>
      <c r="D501" s="2">
        <v>45429.623646527776</v>
      </c>
      <c r="E501" s="4">
        <f t="shared" si="23"/>
        <v>14</v>
      </c>
      <c r="F501" t="s">
        <v>21</v>
      </c>
      <c r="H501" s="3">
        <v>34</v>
      </c>
      <c r="I501" t="s">
        <v>14</v>
      </c>
    </row>
    <row r="502" spans="1:9" x14ac:dyDescent="0.3">
      <c r="A502" s="1">
        <v>45429</v>
      </c>
      <c r="B502" s="4">
        <f t="shared" si="21"/>
        <v>2024</v>
      </c>
      <c r="C502" s="4">
        <f t="shared" si="22"/>
        <v>5</v>
      </c>
      <c r="D502" s="2">
        <v>45429.830075625003</v>
      </c>
      <c r="E502" s="4">
        <f t="shared" si="23"/>
        <v>19</v>
      </c>
      <c r="F502" t="s">
        <v>3</v>
      </c>
      <c r="G502" t="s">
        <v>23</v>
      </c>
      <c r="H502" s="3">
        <v>32.82</v>
      </c>
      <c r="I502" t="s">
        <v>14</v>
      </c>
    </row>
    <row r="503" spans="1:9" x14ac:dyDescent="0.3">
      <c r="A503" s="1">
        <v>45429</v>
      </c>
      <c r="B503" s="4">
        <f t="shared" si="21"/>
        <v>2024</v>
      </c>
      <c r="C503" s="4">
        <f t="shared" si="22"/>
        <v>5</v>
      </c>
      <c r="D503" s="2">
        <v>45429.831096655093</v>
      </c>
      <c r="E503" s="4">
        <f t="shared" si="23"/>
        <v>19</v>
      </c>
      <c r="F503" t="s">
        <v>3</v>
      </c>
      <c r="G503" t="s">
        <v>19</v>
      </c>
      <c r="H503" s="3">
        <v>37.72</v>
      </c>
      <c r="I503" t="s">
        <v>43</v>
      </c>
    </row>
    <row r="504" spans="1:9" x14ac:dyDescent="0.3">
      <c r="A504" s="1">
        <v>45429</v>
      </c>
      <c r="B504" s="4">
        <f t="shared" si="21"/>
        <v>2024</v>
      </c>
      <c r="C504" s="4">
        <f t="shared" si="22"/>
        <v>5</v>
      </c>
      <c r="D504" s="2">
        <v>45429.859640393515</v>
      </c>
      <c r="E504" s="4">
        <f t="shared" si="23"/>
        <v>20</v>
      </c>
      <c r="F504" t="s">
        <v>3</v>
      </c>
      <c r="G504" t="s">
        <v>190</v>
      </c>
      <c r="H504" s="3">
        <v>37.72</v>
      </c>
      <c r="I504" t="s">
        <v>43</v>
      </c>
    </row>
    <row r="505" spans="1:9" x14ac:dyDescent="0.3">
      <c r="A505" s="1">
        <v>45429</v>
      </c>
      <c r="B505" s="4">
        <f t="shared" si="21"/>
        <v>2024</v>
      </c>
      <c r="C505" s="4">
        <f t="shared" si="22"/>
        <v>5</v>
      </c>
      <c r="D505" s="2">
        <v>45429.940865706019</v>
      </c>
      <c r="E505" s="4">
        <f t="shared" si="23"/>
        <v>22</v>
      </c>
      <c r="F505" t="s">
        <v>3</v>
      </c>
      <c r="G505" t="s">
        <v>191</v>
      </c>
      <c r="H505" s="3">
        <v>27.92</v>
      </c>
      <c r="I505" t="s">
        <v>11</v>
      </c>
    </row>
    <row r="506" spans="1:9" x14ac:dyDescent="0.3">
      <c r="A506" s="1">
        <v>45429</v>
      </c>
      <c r="B506" s="4">
        <f t="shared" si="21"/>
        <v>2024</v>
      </c>
      <c r="C506" s="4">
        <f t="shared" si="22"/>
        <v>5</v>
      </c>
      <c r="D506" s="2">
        <v>45429.942052743056</v>
      </c>
      <c r="E506" s="4">
        <f t="shared" si="23"/>
        <v>22</v>
      </c>
      <c r="F506" t="s">
        <v>3</v>
      </c>
      <c r="G506" t="s">
        <v>192</v>
      </c>
      <c r="H506" s="3">
        <v>37.72</v>
      </c>
      <c r="I506" t="s">
        <v>7</v>
      </c>
    </row>
    <row r="507" spans="1:9" x14ac:dyDescent="0.3">
      <c r="A507" s="1">
        <v>45429</v>
      </c>
      <c r="B507" s="4">
        <f t="shared" si="21"/>
        <v>2024</v>
      </c>
      <c r="C507" s="4">
        <f t="shared" si="22"/>
        <v>5</v>
      </c>
      <c r="D507" s="2">
        <v>45429.942856724534</v>
      </c>
      <c r="E507" s="4">
        <f t="shared" si="23"/>
        <v>22</v>
      </c>
      <c r="F507" t="s">
        <v>3</v>
      </c>
      <c r="G507" t="s">
        <v>193</v>
      </c>
      <c r="H507" s="3">
        <v>37.72</v>
      </c>
      <c r="I507" t="s">
        <v>7</v>
      </c>
    </row>
    <row r="508" spans="1:9" x14ac:dyDescent="0.3">
      <c r="A508" s="1">
        <v>45430</v>
      </c>
      <c r="B508" s="4">
        <f t="shared" si="21"/>
        <v>2024</v>
      </c>
      <c r="C508" s="4">
        <f t="shared" si="22"/>
        <v>5</v>
      </c>
      <c r="D508" s="2">
        <v>45430.334466412038</v>
      </c>
      <c r="E508" s="4">
        <f t="shared" si="23"/>
        <v>8</v>
      </c>
      <c r="F508" t="s">
        <v>3</v>
      </c>
      <c r="G508" t="s">
        <v>194</v>
      </c>
      <c r="H508" s="3">
        <v>37.72</v>
      </c>
      <c r="I508" t="s">
        <v>43</v>
      </c>
    </row>
    <row r="509" spans="1:9" x14ac:dyDescent="0.3">
      <c r="A509" s="1">
        <v>45430</v>
      </c>
      <c r="B509" s="4">
        <f t="shared" si="21"/>
        <v>2024</v>
      </c>
      <c r="C509" s="4">
        <f t="shared" si="22"/>
        <v>5</v>
      </c>
      <c r="D509" s="2">
        <v>45430.335184710646</v>
      </c>
      <c r="E509" s="4">
        <f t="shared" si="23"/>
        <v>8</v>
      </c>
      <c r="F509" t="s">
        <v>3</v>
      </c>
      <c r="G509" t="s">
        <v>194</v>
      </c>
      <c r="H509" s="3">
        <v>37.72</v>
      </c>
      <c r="I509" t="s">
        <v>43</v>
      </c>
    </row>
    <row r="510" spans="1:9" x14ac:dyDescent="0.3">
      <c r="A510" s="1">
        <v>45430</v>
      </c>
      <c r="B510" s="4">
        <f t="shared" si="21"/>
        <v>2024</v>
      </c>
      <c r="C510" s="4">
        <f t="shared" si="22"/>
        <v>5</v>
      </c>
      <c r="D510" s="2">
        <v>45430.469399178241</v>
      </c>
      <c r="E510" s="4">
        <f t="shared" si="23"/>
        <v>11</v>
      </c>
      <c r="F510" t="s">
        <v>3</v>
      </c>
      <c r="G510" t="s">
        <v>195</v>
      </c>
      <c r="H510" s="3">
        <v>32.82</v>
      </c>
      <c r="I510" t="s">
        <v>14</v>
      </c>
    </row>
    <row r="511" spans="1:9" x14ac:dyDescent="0.3">
      <c r="A511" s="1">
        <v>45430</v>
      </c>
      <c r="B511" s="4">
        <f t="shared" si="21"/>
        <v>2024</v>
      </c>
      <c r="C511" s="4">
        <f t="shared" si="22"/>
        <v>5</v>
      </c>
      <c r="D511" s="2">
        <v>45430.700339976851</v>
      </c>
      <c r="E511" s="4">
        <f t="shared" si="23"/>
        <v>16</v>
      </c>
      <c r="F511" t="s">
        <v>3</v>
      </c>
      <c r="G511" t="s">
        <v>186</v>
      </c>
      <c r="H511" s="3">
        <v>32.82</v>
      </c>
      <c r="I511" t="s">
        <v>14</v>
      </c>
    </row>
    <row r="512" spans="1:9" x14ac:dyDescent="0.3">
      <c r="A512" s="1">
        <v>45430</v>
      </c>
      <c r="B512" s="4">
        <f t="shared" si="21"/>
        <v>2024</v>
      </c>
      <c r="C512" s="4">
        <f t="shared" si="22"/>
        <v>5</v>
      </c>
      <c r="D512" s="2">
        <v>45430.701008460645</v>
      </c>
      <c r="E512" s="4">
        <f t="shared" si="23"/>
        <v>16</v>
      </c>
      <c r="F512" t="s">
        <v>3</v>
      </c>
      <c r="G512" t="s">
        <v>111</v>
      </c>
      <c r="H512" s="3">
        <v>32.82</v>
      </c>
      <c r="I512" t="s">
        <v>14</v>
      </c>
    </row>
    <row r="513" spans="1:9" x14ac:dyDescent="0.3">
      <c r="A513" s="1">
        <v>45430</v>
      </c>
      <c r="B513" s="4">
        <f t="shared" ref="B513:B576" si="24">YEAR(A513)</f>
        <v>2024</v>
      </c>
      <c r="C513" s="4">
        <f t="shared" ref="C513:C576" si="25">MONTH(A513)</f>
        <v>5</v>
      </c>
      <c r="D513" s="2">
        <v>45430.83245613426</v>
      </c>
      <c r="E513" s="4">
        <f t="shared" ref="E513:E576" si="26">HOUR(D513)</f>
        <v>19</v>
      </c>
      <c r="F513" t="s">
        <v>3</v>
      </c>
      <c r="G513" t="s">
        <v>54</v>
      </c>
      <c r="H513" s="3">
        <v>32.82</v>
      </c>
      <c r="I513" t="s">
        <v>14</v>
      </c>
    </row>
    <row r="514" spans="1:9" x14ac:dyDescent="0.3">
      <c r="A514" s="1">
        <v>45430</v>
      </c>
      <c r="B514" s="4">
        <f t="shared" si="24"/>
        <v>2024</v>
      </c>
      <c r="C514" s="4">
        <f t="shared" si="25"/>
        <v>5</v>
      </c>
      <c r="D514" s="2">
        <v>45430.849225821759</v>
      </c>
      <c r="E514" s="4">
        <f t="shared" si="26"/>
        <v>20</v>
      </c>
      <c r="F514" t="s">
        <v>3</v>
      </c>
      <c r="G514" t="s">
        <v>19</v>
      </c>
      <c r="H514" s="3">
        <v>37.72</v>
      </c>
      <c r="I514" t="s">
        <v>7</v>
      </c>
    </row>
    <row r="515" spans="1:9" hidden="1" x14ac:dyDescent="0.3">
      <c r="A515" s="1">
        <v>45430</v>
      </c>
      <c r="B515" s="4">
        <f t="shared" si="24"/>
        <v>2024</v>
      </c>
      <c r="C515" s="4">
        <f t="shared" si="25"/>
        <v>5</v>
      </c>
      <c r="D515" s="2">
        <v>45430.920456863423</v>
      </c>
      <c r="E515" s="4">
        <f t="shared" si="26"/>
        <v>22</v>
      </c>
      <c r="F515" t="s">
        <v>21</v>
      </c>
      <c r="H515" s="3">
        <v>39</v>
      </c>
      <c r="I515" t="s">
        <v>43</v>
      </c>
    </row>
    <row r="516" spans="1:9" x14ac:dyDescent="0.3">
      <c r="A516" s="1">
        <v>45431</v>
      </c>
      <c r="B516" s="4">
        <f t="shared" si="24"/>
        <v>2024</v>
      </c>
      <c r="C516" s="4">
        <f t="shared" si="25"/>
        <v>5</v>
      </c>
      <c r="D516" s="2">
        <v>45431.332387870367</v>
      </c>
      <c r="E516" s="4">
        <f t="shared" si="26"/>
        <v>7</v>
      </c>
      <c r="F516" t="s">
        <v>3</v>
      </c>
      <c r="G516" t="s">
        <v>196</v>
      </c>
      <c r="H516" s="3">
        <v>27.92</v>
      </c>
      <c r="I516" t="s">
        <v>11</v>
      </c>
    </row>
    <row r="517" spans="1:9" x14ac:dyDescent="0.3">
      <c r="A517" s="1">
        <v>45431</v>
      </c>
      <c r="B517" s="4">
        <f t="shared" si="24"/>
        <v>2024</v>
      </c>
      <c r="C517" s="4">
        <f t="shared" si="25"/>
        <v>5</v>
      </c>
      <c r="D517" s="2">
        <v>45431.333027187502</v>
      </c>
      <c r="E517" s="4">
        <f t="shared" si="26"/>
        <v>7</v>
      </c>
      <c r="F517" t="s">
        <v>3</v>
      </c>
      <c r="G517" t="s">
        <v>196</v>
      </c>
      <c r="H517" s="3">
        <v>27.92</v>
      </c>
      <c r="I517" t="s">
        <v>11</v>
      </c>
    </row>
    <row r="518" spans="1:9" x14ac:dyDescent="0.3">
      <c r="A518" s="1">
        <v>45431</v>
      </c>
      <c r="B518" s="4">
        <f t="shared" si="24"/>
        <v>2024</v>
      </c>
      <c r="C518" s="4">
        <f t="shared" si="25"/>
        <v>5</v>
      </c>
      <c r="D518" s="2">
        <v>45431.333739131944</v>
      </c>
      <c r="E518" s="4">
        <f t="shared" si="26"/>
        <v>8</v>
      </c>
      <c r="F518" t="s">
        <v>3</v>
      </c>
      <c r="G518" t="s">
        <v>197</v>
      </c>
      <c r="H518" s="3">
        <v>37.72</v>
      </c>
      <c r="I518" t="s">
        <v>43</v>
      </c>
    </row>
    <row r="519" spans="1:9" hidden="1" x14ac:dyDescent="0.3">
      <c r="A519" s="1">
        <v>45431</v>
      </c>
      <c r="B519" s="4">
        <f t="shared" si="24"/>
        <v>2024</v>
      </c>
      <c r="C519" s="4">
        <f t="shared" si="25"/>
        <v>5</v>
      </c>
      <c r="D519" s="2">
        <v>45431.395019942131</v>
      </c>
      <c r="E519" s="4">
        <f t="shared" si="26"/>
        <v>9</v>
      </c>
      <c r="F519" t="s">
        <v>21</v>
      </c>
      <c r="H519" s="3">
        <v>24</v>
      </c>
      <c r="I519" t="s">
        <v>35</v>
      </c>
    </row>
    <row r="520" spans="1:9" x14ac:dyDescent="0.3">
      <c r="A520" s="1">
        <v>45431</v>
      </c>
      <c r="B520" s="4">
        <f t="shared" si="24"/>
        <v>2024</v>
      </c>
      <c r="C520" s="4">
        <f t="shared" si="25"/>
        <v>5</v>
      </c>
      <c r="D520" s="2">
        <v>45431.510030972226</v>
      </c>
      <c r="E520" s="4">
        <f t="shared" si="26"/>
        <v>12</v>
      </c>
      <c r="F520" t="s">
        <v>3</v>
      </c>
      <c r="G520" t="s">
        <v>198</v>
      </c>
      <c r="H520" s="3">
        <v>32.82</v>
      </c>
      <c r="I520" t="s">
        <v>14</v>
      </c>
    </row>
    <row r="521" spans="1:9" x14ac:dyDescent="0.3">
      <c r="A521" s="1">
        <v>45431</v>
      </c>
      <c r="B521" s="4">
        <f t="shared" si="24"/>
        <v>2024</v>
      </c>
      <c r="C521" s="4">
        <f t="shared" si="25"/>
        <v>5</v>
      </c>
      <c r="D521" s="2">
        <v>45431.613657974536</v>
      </c>
      <c r="E521" s="4">
        <f t="shared" si="26"/>
        <v>14</v>
      </c>
      <c r="F521" t="s">
        <v>3</v>
      </c>
      <c r="G521" t="s">
        <v>23</v>
      </c>
      <c r="H521" s="3">
        <v>27.92</v>
      </c>
      <c r="I521" t="s">
        <v>11</v>
      </c>
    </row>
    <row r="522" spans="1:9" x14ac:dyDescent="0.3">
      <c r="A522" s="1">
        <v>45431</v>
      </c>
      <c r="B522" s="4">
        <f t="shared" si="24"/>
        <v>2024</v>
      </c>
      <c r="C522" s="4">
        <f t="shared" si="25"/>
        <v>5</v>
      </c>
      <c r="D522" s="2">
        <v>45431.665951296294</v>
      </c>
      <c r="E522" s="4">
        <f t="shared" si="26"/>
        <v>15</v>
      </c>
      <c r="F522" t="s">
        <v>3</v>
      </c>
      <c r="G522" t="s">
        <v>199</v>
      </c>
      <c r="H522" s="3">
        <v>32.82</v>
      </c>
      <c r="I522" t="s">
        <v>14</v>
      </c>
    </row>
    <row r="523" spans="1:9" x14ac:dyDescent="0.3">
      <c r="A523" s="1">
        <v>45431</v>
      </c>
      <c r="B523" s="4">
        <f t="shared" si="24"/>
        <v>2024</v>
      </c>
      <c r="C523" s="4">
        <f t="shared" si="25"/>
        <v>5</v>
      </c>
      <c r="D523" s="2">
        <v>45431.758753518516</v>
      </c>
      <c r="E523" s="4">
        <f t="shared" si="26"/>
        <v>18</v>
      </c>
      <c r="F523" t="s">
        <v>3</v>
      </c>
      <c r="G523" t="s">
        <v>200</v>
      </c>
      <c r="H523" s="3">
        <v>32.82</v>
      </c>
      <c r="I523" t="s">
        <v>14</v>
      </c>
    </row>
    <row r="524" spans="1:9" x14ac:dyDescent="0.3">
      <c r="A524" s="1">
        <v>45431</v>
      </c>
      <c r="B524" s="4">
        <f t="shared" si="24"/>
        <v>2024</v>
      </c>
      <c r="C524" s="4">
        <f t="shared" si="25"/>
        <v>5</v>
      </c>
      <c r="D524" s="2">
        <v>45431.759580578706</v>
      </c>
      <c r="E524" s="4">
        <f t="shared" si="26"/>
        <v>18</v>
      </c>
      <c r="F524" t="s">
        <v>3</v>
      </c>
      <c r="G524" t="s">
        <v>200</v>
      </c>
      <c r="H524" s="3">
        <v>23.02</v>
      </c>
      <c r="I524" t="s">
        <v>35</v>
      </c>
    </row>
    <row r="525" spans="1:9" x14ac:dyDescent="0.3">
      <c r="A525" s="1">
        <v>45431</v>
      </c>
      <c r="B525" s="4">
        <f t="shared" si="24"/>
        <v>2024</v>
      </c>
      <c r="C525" s="4">
        <f t="shared" si="25"/>
        <v>5</v>
      </c>
      <c r="D525" s="2">
        <v>45431.761458587964</v>
      </c>
      <c r="E525" s="4">
        <f t="shared" si="26"/>
        <v>18</v>
      </c>
      <c r="F525" t="s">
        <v>3</v>
      </c>
      <c r="G525" t="s">
        <v>200</v>
      </c>
      <c r="H525" s="3">
        <v>37.72</v>
      </c>
      <c r="I525" t="s">
        <v>9</v>
      </c>
    </row>
    <row r="526" spans="1:9" x14ac:dyDescent="0.3">
      <c r="A526" s="1">
        <v>45431</v>
      </c>
      <c r="B526" s="4">
        <f t="shared" si="24"/>
        <v>2024</v>
      </c>
      <c r="C526" s="4">
        <f t="shared" si="25"/>
        <v>5</v>
      </c>
      <c r="D526" s="2">
        <v>45431.827164108799</v>
      </c>
      <c r="E526" s="4">
        <f t="shared" si="26"/>
        <v>19</v>
      </c>
      <c r="F526" t="s">
        <v>3</v>
      </c>
      <c r="G526" t="s">
        <v>201</v>
      </c>
      <c r="H526" s="3">
        <v>37.72</v>
      </c>
      <c r="I526" t="s">
        <v>43</v>
      </c>
    </row>
    <row r="527" spans="1:9" x14ac:dyDescent="0.3">
      <c r="A527" s="1">
        <v>45431</v>
      </c>
      <c r="B527" s="4">
        <f t="shared" si="24"/>
        <v>2024</v>
      </c>
      <c r="C527" s="4">
        <f t="shared" si="25"/>
        <v>5</v>
      </c>
      <c r="D527" s="2">
        <v>45431.885900011577</v>
      </c>
      <c r="E527" s="4">
        <f t="shared" si="26"/>
        <v>21</v>
      </c>
      <c r="F527" t="s">
        <v>3</v>
      </c>
      <c r="G527" t="s">
        <v>202</v>
      </c>
      <c r="H527" s="3">
        <v>37.72</v>
      </c>
      <c r="I527" t="s">
        <v>43</v>
      </c>
    </row>
    <row r="528" spans="1:9" x14ac:dyDescent="0.3">
      <c r="A528" s="1">
        <v>45431</v>
      </c>
      <c r="B528" s="4">
        <f t="shared" si="24"/>
        <v>2024</v>
      </c>
      <c r="C528" s="4">
        <f t="shared" si="25"/>
        <v>5</v>
      </c>
      <c r="D528" s="2">
        <v>45431.887917835651</v>
      </c>
      <c r="E528" s="4">
        <f t="shared" si="26"/>
        <v>21</v>
      </c>
      <c r="F528" t="s">
        <v>3</v>
      </c>
      <c r="G528" t="s">
        <v>203</v>
      </c>
      <c r="H528" s="3">
        <v>37.72</v>
      </c>
      <c r="I528" t="s">
        <v>43</v>
      </c>
    </row>
    <row r="529" spans="1:9" x14ac:dyDescent="0.3">
      <c r="A529" s="1">
        <v>45432</v>
      </c>
      <c r="B529" s="4">
        <f t="shared" si="24"/>
        <v>2024</v>
      </c>
      <c r="C529" s="4">
        <f t="shared" si="25"/>
        <v>5</v>
      </c>
      <c r="D529" s="2">
        <v>45432.420823645836</v>
      </c>
      <c r="E529" s="4">
        <f t="shared" si="26"/>
        <v>10</v>
      </c>
      <c r="F529" t="s">
        <v>3</v>
      </c>
      <c r="G529" t="s">
        <v>204</v>
      </c>
      <c r="H529" s="3">
        <v>32.82</v>
      </c>
      <c r="I529" t="s">
        <v>14</v>
      </c>
    </row>
    <row r="530" spans="1:9" x14ac:dyDescent="0.3">
      <c r="A530" s="1">
        <v>45432</v>
      </c>
      <c r="B530" s="4">
        <f t="shared" si="24"/>
        <v>2024</v>
      </c>
      <c r="C530" s="4">
        <f t="shared" si="25"/>
        <v>5</v>
      </c>
      <c r="D530" s="2">
        <v>45432.429072534724</v>
      </c>
      <c r="E530" s="4">
        <f t="shared" si="26"/>
        <v>10</v>
      </c>
      <c r="F530" t="s">
        <v>3</v>
      </c>
      <c r="G530" t="s">
        <v>205</v>
      </c>
      <c r="H530" s="3">
        <v>37.72</v>
      </c>
      <c r="I530" t="s">
        <v>7</v>
      </c>
    </row>
    <row r="531" spans="1:9" x14ac:dyDescent="0.3">
      <c r="A531" s="1">
        <v>45432</v>
      </c>
      <c r="B531" s="4">
        <f t="shared" si="24"/>
        <v>2024</v>
      </c>
      <c r="C531" s="4">
        <f t="shared" si="25"/>
        <v>5</v>
      </c>
      <c r="D531" s="2">
        <v>45432.457504386577</v>
      </c>
      <c r="E531" s="4">
        <f t="shared" si="26"/>
        <v>10</v>
      </c>
      <c r="F531" t="s">
        <v>3</v>
      </c>
      <c r="G531" t="s">
        <v>6</v>
      </c>
      <c r="H531" s="3">
        <v>37.72</v>
      </c>
      <c r="I531" t="s">
        <v>7</v>
      </c>
    </row>
    <row r="532" spans="1:9" x14ac:dyDescent="0.3">
      <c r="A532" s="1">
        <v>45432</v>
      </c>
      <c r="B532" s="4">
        <f t="shared" si="24"/>
        <v>2024</v>
      </c>
      <c r="C532" s="4">
        <f t="shared" si="25"/>
        <v>5</v>
      </c>
      <c r="D532" s="2">
        <v>45432.468939386577</v>
      </c>
      <c r="E532" s="4">
        <f t="shared" si="26"/>
        <v>11</v>
      </c>
      <c r="F532" t="s">
        <v>3</v>
      </c>
      <c r="G532" t="s">
        <v>157</v>
      </c>
      <c r="H532" s="3">
        <v>27.92</v>
      </c>
      <c r="I532" t="s">
        <v>11</v>
      </c>
    </row>
    <row r="533" spans="1:9" x14ac:dyDescent="0.3">
      <c r="A533" s="1">
        <v>45432</v>
      </c>
      <c r="B533" s="4">
        <f t="shared" si="24"/>
        <v>2024</v>
      </c>
      <c r="C533" s="4">
        <f t="shared" si="25"/>
        <v>5</v>
      </c>
      <c r="D533" s="2">
        <v>45432.469671724539</v>
      </c>
      <c r="E533" s="4">
        <f t="shared" si="26"/>
        <v>11</v>
      </c>
      <c r="F533" t="s">
        <v>3</v>
      </c>
      <c r="G533" t="s">
        <v>157</v>
      </c>
      <c r="H533" s="3">
        <v>27.92</v>
      </c>
      <c r="I533" t="s">
        <v>11</v>
      </c>
    </row>
    <row r="534" spans="1:9" x14ac:dyDescent="0.3">
      <c r="A534" s="1">
        <v>45432</v>
      </c>
      <c r="B534" s="4">
        <f t="shared" si="24"/>
        <v>2024</v>
      </c>
      <c r="C534" s="4">
        <f t="shared" si="25"/>
        <v>5</v>
      </c>
      <c r="D534" s="2">
        <v>45432.56057199074</v>
      </c>
      <c r="E534" s="4">
        <f t="shared" si="26"/>
        <v>13</v>
      </c>
      <c r="F534" t="s">
        <v>3</v>
      </c>
      <c r="G534" t="s">
        <v>10</v>
      </c>
      <c r="H534" s="3">
        <v>27.92</v>
      </c>
      <c r="I534" t="s">
        <v>11</v>
      </c>
    </row>
    <row r="535" spans="1:9" x14ac:dyDescent="0.3">
      <c r="A535" s="1">
        <v>45432</v>
      </c>
      <c r="B535" s="4">
        <f t="shared" si="24"/>
        <v>2024</v>
      </c>
      <c r="C535" s="4">
        <f t="shared" si="25"/>
        <v>5</v>
      </c>
      <c r="D535" s="2">
        <v>45432.561231944448</v>
      </c>
      <c r="E535" s="4">
        <f t="shared" si="26"/>
        <v>13</v>
      </c>
      <c r="F535" t="s">
        <v>3</v>
      </c>
      <c r="G535" t="s">
        <v>10</v>
      </c>
      <c r="H535" s="3">
        <v>27.92</v>
      </c>
      <c r="I535" t="s">
        <v>11</v>
      </c>
    </row>
    <row r="536" spans="1:9" x14ac:dyDescent="0.3">
      <c r="A536" s="1">
        <v>45432</v>
      </c>
      <c r="B536" s="4">
        <f t="shared" si="24"/>
        <v>2024</v>
      </c>
      <c r="C536" s="4">
        <f t="shared" si="25"/>
        <v>5</v>
      </c>
      <c r="D536" s="2">
        <v>45432.592581215278</v>
      </c>
      <c r="E536" s="4">
        <f t="shared" si="26"/>
        <v>14</v>
      </c>
      <c r="F536" t="s">
        <v>3</v>
      </c>
      <c r="G536" t="s">
        <v>206</v>
      </c>
      <c r="H536" s="3">
        <v>32.82</v>
      </c>
      <c r="I536" t="s">
        <v>14</v>
      </c>
    </row>
    <row r="537" spans="1:9" x14ac:dyDescent="0.3">
      <c r="A537" s="1">
        <v>45432</v>
      </c>
      <c r="B537" s="4">
        <f t="shared" si="24"/>
        <v>2024</v>
      </c>
      <c r="C537" s="4">
        <f t="shared" si="25"/>
        <v>5</v>
      </c>
      <c r="D537" s="2">
        <v>45432.593418449076</v>
      </c>
      <c r="E537" s="4">
        <f t="shared" si="26"/>
        <v>14</v>
      </c>
      <c r="F537" t="s">
        <v>3</v>
      </c>
      <c r="G537" t="s">
        <v>206</v>
      </c>
      <c r="H537" s="3">
        <v>37.72</v>
      </c>
      <c r="I537" t="s">
        <v>43</v>
      </c>
    </row>
    <row r="538" spans="1:9" hidden="1" x14ac:dyDescent="0.3">
      <c r="A538" s="1">
        <v>45432</v>
      </c>
      <c r="B538" s="4">
        <f t="shared" si="24"/>
        <v>2024</v>
      </c>
      <c r="C538" s="4">
        <f t="shared" si="25"/>
        <v>5</v>
      </c>
      <c r="D538" s="2">
        <v>45432.605801527781</v>
      </c>
      <c r="E538" s="4">
        <f t="shared" si="26"/>
        <v>14</v>
      </c>
      <c r="F538" t="s">
        <v>21</v>
      </c>
      <c r="H538" s="3">
        <v>29</v>
      </c>
      <c r="I538" t="s">
        <v>11</v>
      </c>
    </row>
    <row r="539" spans="1:9" x14ac:dyDescent="0.3">
      <c r="A539" s="1">
        <v>45432</v>
      </c>
      <c r="B539" s="4">
        <f t="shared" si="24"/>
        <v>2024</v>
      </c>
      <c r="C539" s="4">
        <f t="shared" si="25"/>
        <v>5</v>
      </c>
      <c r="D539" s="2">
        <v>45432.717258344906</v>
      </c>
      <c r="E539" s="4">
        <f t="shared" si="26"/>
        <v>17</v>
      </c>
      <c r="F539" t="s">
        <v>3</v>
      </c>
      <c r="G539" t="s">
        <v>134</v>
      </c>
      <c r="H539" s="3">
        <v>37.72</v>
      </c>
      <c r="I539" t="s">
        <v>7</v>
      </c>
    </row>
    <row r="540" spans="1:9" x14ac:dyDescent="0.3">
      <c r="A540" s="1">
        <v>45432</v>
      </c>
      <c r="B540" s="4">
        <f t="shared" si="24"/>
        <v>2024</v>
      </c>
      <c r="C540" s="4">
        <f t="shared" si="25"/>
        <v>5</v>
      </c>
      <c r="D540" s="2">
        <v>45432.718019641201</v>
      </c>
      <c r="E540" s="4">
        <f t="shared" si="26"/>
        <v>17</v>
      </c>
      <c r="F540" t="s">
        <v>3</v>
      </c>
      <c r="G540" t="s">
        <v>207</v>
      </c>
      <c r="H540" s="3">
        <v>37.72</v>
      </c>
      <c r="I540" t="s">
        <v>7</v>
      </c>
    </row>
    <row r="541" spans="1:9" x14ac:dyDescent="0.3">
      <c r="A541" s="1">
        <v>45432</v>
      </c>
      <c r="B541" s="4">
        <f t="shared" si="24"/>
        <v>2024</v>
      </c>
      <c r="C541" s="4">
        <f t="shared" si="25"/>
        <v>5</v>
      </c>
      <c r="D541" s="2">
        <v>45432.858892592594</v>
      </c>
      <c r="E541" s="4">
        <f t="shared" si="26"/>
        <v>20</v>
      </c>
      <c r="F541" t="s">
        <v>3</v>
      </c>
      <c r="G541" t="s">
        <v>208</v>
      </c>
      <c r="H541" s="3">
        <v>32.82</v>
      </c>
      <c r="I541" t="s">
        <v>14</v>
      </c>
    </row>
    <row r="542" spans="1:9" x14ac:dyDescent="0.3">
      <c r="A542" s="1">
        <v>45432</v>
      </c>
      <c r="B542" s="4">
        <f t="shared" si="24"/>
        <v>2024</v>
      </c>
      <c r="C542" s="4">
        <f t="shared" si="25"/>
        <v>5</v>
      </c>
      <c r="D542" s="2">
        <v>45432.859691157406</v>
      </c>
      <c r="E542" s="4">
        <f t="shared" si="26"/>
        <v>20</v>
      </c>
      <c r="F542" t="s">
        <v>3</v>
      </c>
      <c r="G542" t="s">
        <v>208</v>
      </c>
      <c r="H542" s="3">
        <v>37.72</v>
      </c>
      <c r="I542" t="s">
        <v>18</v>
      </c>
    </row>
    <row r="543" spans="1:9" x14ac:dyDescent="0.3">
      <c r="A543" s="1">
        <v>45432</v>
      </c>
      <c r="B543" s="4">
        <f t="shared" si="24"/>
        <v>2024</v>
      </c>
      <c r="C543" s="4">
        <f t="shared" si="25"/>
        <v>5</v>
      </c>
      <c r="D543" s="2">
        <v>45432.865880613426</v>
      </c>
      <c r="E543" s="4">
        <f t="shared" si="26"/>
        <v>20</v>
      </c>
      <c r="F543" t="s">
        <v>3</v>
      </c>
      <c r="G543" t="s">
        <v>209</v>
      </c>
      <c r="H543" s="3">
        <v>27.92</v>
      </c>
      <c r="I543" t="s">
        <v>28</v>
      </c>
    </row>
    <row r="544" spans="1:9" x14ac:dyDescent="0.3">
      <c r="A544" s="1">
        <v>45432</v>
      </c>
      <c r="B544" s="4">
        <f t="shared" si="24"/>
        <v>2024</v>
      </c>
      <c r="C544" s="4">
        <f t="shared" si="25"/>
        <v>5</v>
      </c>
      <c r="D544" s="2">
        <v>45432.900624837966</v>
      </c>
      <c r="E544" s="4">
        <f t="shared" si="26"/>
        <v>21</v>
      </c>
      <c r="F544" t="s">
        <v>3</v>
      </c>
      <c r="G544" t="s">
        <v>23</v>
      </c>
      <c r="H544" s="3">
        <v>32.82</v>
      </c>
      <c r="I544" t="s">
        <v>14</v>
      </c>
    </row>
    <row r="545" spans="1:9" x14ac:dyDescent="0.3">
      <c r="A545" s="1">
        <v>45432</v>
      </c>
      <c r="B545" s="4">
        <f t="shared" si="24"/>
        <v>2024</v>
      </c>
      <c r="C545" s="4">
        <f t="shared" si="25"/>
        <v>5</v>
      </c>
      <c r="D545" s="2">
        <v>45432.901363159719</v>
      </c>
      <c r="E545" s="4">
        <f t="shared" si="26"/>
        <v>21</v>
      </c>
      <c r="F545" t="s">
        <v>3</v>
      </c>
      <c r="G545" t="s">
        <v>23</v>
      </c>
      <c r="H545" s="3">
        <v>32.82</v>
      </c>
      <c r="I545" t="s">
        <v>14</v>
      </c>
    </row>
    <row r="546" spans="1:9" x14ac:dyDescent="0.3">
      <c r="A546" s="1">
        <v>45433</v>
      </c>
      <c r="B546" s="4">
        <f t="shared" si="24"/>
        <v>2024</v>
      </c>
      <c r="C546" s="4">
        <f t="shared" si="25"/>
        <v>5</v>
      </c>
      <c r="D546" s="2">
        <v>45433.352525810187</v>
      </c>
      <c r="E546" s="4">
        <f t="shared" si="26"/>
        <v>8</v>
      </c>
      <c r="F546" t="s">
        <v>3</v>
      </c>
      <c r="G546" t="s">
        <v>210</v>
      </c>
      <c r="H546" s="3">
        <v>37.72</v>
      </c>
      <c r="I546" t="s">
        <v>7</v>
      </c>
    </row>
    <row r="547" spans="1:9" hidden="1" x14ac:dyDescent="0.3">
      <c r="A547" s="1">
        <v>45433</v>
      </c>
      <c r="B547" s="4">
        <f t="shared" si="24"/>
        <v>2024</v>
      </c>
      <c r="C547" s="4">
        <f t="shared" si="25"/>
        <v>5</v>
      </c>
      <c r="D547" s="2">
        <v>45433.405447800928</v>
      </c>
      <c r="E547" s="4">
        <f t="shared" si="26"/>
        <v>9</v>
      </c>
      <c r="F547" t="s">
        <v>21</v>
      </c>
      <c r="H547" s="3">
        <v>29</v>
      </c>
      <c r="I547" t="s">
        <v>11</v>
      </c>
    </row>
    <row r="548" spans="1:9" hidden="1" x14ac:dyDescent="0.3">
      <c r="A548" s="1">
        <v>45433</v>
      </c>
      <c r="B548" s="4">
        <f t="shared" si="24"/>
        <v>2024</v>
      </c>
      <c r="C548" s="4">
        <f t="shared" si="25"/>
        <v>5</v>
      </c>
      <c r="D548" s="2">
        <v>45433.40602209491</v>
      </c>
      <c r="E548" s="4">
        <f t="shared" si="26"/>
        <v>9</v>
      </c>
      <c r="F548" t="s">
        <v>21</v>
      </c>
      <c r="H548" s="3">
        <v>34</v>
      </c>
      <c r="I548" t="s">
        <v>14</v>
      </c>
    </row>
    <row r="549" spans="1:9" hidden="1" x14ac:dyDescent="0.3">
      <c r="A549" s="1">
        <v>45433</v>
      </c>
      <c r="B549" s="4">
        <f t="shared" si="24"/>
        <v>2024</v>
      </c>
      <c r="C549" s="4">
        <f t="shared" si="25"/>
        <v>5</v>
      </c>
      <c r="D549" s="2">
        <v>45433.407053587965</v>
      </c>
      <c r="E549" s="4">
        <f t="shared" si="26"/>
        <v>9</v>
      </c>
      <c r="F549" t="s">
        <v>21</v>
      </c>
      <c r="H549" s="3">
        <v>39</v>
      </c>
      <c r="I549" t="s">
        <v>18</v>
      </c>
    </row>
    <row r="550" spans="1:9" hidden="1" x14ac:dyDescent="0.3">
      <c r="A550" s="1">
        <v>45433</v>
      </c>
      <c r="B550" s="4">
        <f t="shared" si="24"/>
        <v>2024</v>
      </c>
      <c r="C550" s="4">
        <f t="shared" si="25"/>
        <v>5</v>
      </c>
      <c r="D550" s="2">
        <v>45433.420231863427</v>
      </c>
      <c r="E550" s="4">
        <f t="shared" si="26"/>
        <v>10</v>
      </c>
      <c r="F550" t="s">
        <v>21</v>
      </c>
      <c r="H550" s="3">
        <v>39</v>
      </c>
      <c r="I550" t="s">
        <v>7</v>
      </c>
    </row>
    <row r="551" spans="1:9" x14ac:dyDescent="0.3">
      <c r="A551" s="1">
        <v>45433</v>
      </c>
      <c r="B551" s="4">
        <f t="shared" si="24"/>
        <v>2024</v>
      </c>
      <c r="C551" s="4">
        <f t="shared" si="25"/>
        <v>5</v>
      </c>
      <c r="D551" s="2">
        <v>45433.673842083335</v>
      </c>
      <c r="E551" s="4">
        <f t="shared" si="26"/>
        <v>16</v>
      </c>
      <c r="F551" t="s">
        <v>3</v>
      </c>
      <c r="G551" t="s">
        <v>211</v>
      </c>
      <c r="H551" s="3">
        <v>37.72</v>
      </c>
      <c r="I551" t="s">
        <v>7</v>
      </c>
    </row>
    <row r="552" spans="1:9" x14ac:dyDescent="0.3">
      <c r="A552" s="1">
        <v>45433</v>
      </c>
      <c r="B552" s="4">
        <f t="shared" si="24"/>
        <v>2024</v>
      </c>
      <c r="C552" s="4">
        <f t="shared" si="25"/>
        <v>5</v>
      </c>
      <c r="D552" s="2">
        <v>45433.759305532411</v>
      </c>
      <c r="E552" s="4">
        <f t="shared" si="26"/>
        <v>18</v>
      </c>
      <c r="F552" t="s">
        <v>3</v>
      </c>
      <c r="G552" t="s">
        <v>23</v>
      </c>
      <c r="H552" s="3">
        <v>23.02</v>
      </c>
      <c r="I552" t="s">
        <v>35</v>
      </c>
    </row>
    <row r="553" spans="1:9" x14ac:dyDescent="0.3">
      <c r="A553" s="1">
        <v>45433</v>
      </c>
      <c r="B553" s="4">
        <f t="shared" si="24"/>
        <v>2024</v>
      </c>
      <c r="C553" s="4">
        <f t="shared" si="25"/>
        <v>5</v>
      </c>
      <c r="D553" s="2">
        <v>45433.799412175926</v>
      </c>
      <c r="E553" s="4">
        <f t="shared" si="26"/>
        <v>19</v>
      </c>
      <c r="F553" t="s">
        <v>3</v>
      </c>
      <c r="G553" t="s">
        <v>212</v>
      </c>
      <c r="H553" s="3">
        <v>37.72</v>
      </c>
      <c r="I553" t="s">
        <v>43</v>
      </c>
    </row>
    <row r="554" spans="1:9" x14ac:dyDescent="0.3">
      <c r="A554" s="1">
        <v>45433</v>
      </c>
      <c r="B554" s="4">
        <f t="shared" si="24"/>
        <v>2024</v>
      </c>
      <c r="C554" s="4">
        <f t="shared" si="25"/>
        <v>5</v>
      </c>
      <c r="D554" s="2">
        <v>45433.842920810188</v>
      </c>
      <c r="E554" s="4">
        <f t="shared" si="26"/>
        <v>20</v>
      </c>
      <c r="F554" t="s">
        <v>3</v>
      </c>
      <c r="G554" t="s">
        <v>213</v>
      </c>
      <c r="H554" s="3">
        <v>37.72</v>
      </c>
      <c r="I554" t="s">
        <v>43</v>
      </c>
    </row>
    <row r="555" spans="1:9" x14ac:dyDescent="0.3">
      <c r="A555" s="1">
        <v>45434</v>
      </c>
      <c r="B555" s="4">
        <f t="shared" si="24"/>
        <v>2024</v>
      </c>
      <c r="C555" s="4">
        <f t="shared" si="25"/>
        <v>5</v>
      </c>
      <c r="D555" s="2">
        <v>45434.399095115739</v>
      </c>
      <c r="E555" s="4">
        <f t="shared" si="26"/>
        <v>9</v>
      </c>
      <c r="F555" t="s">
        <v>3</v>
      </c>
      <c r="G555" t="s">
        <v>214</v>
      </c>
      <c r="H555" s="3">
        <v>37.72</v>
      </c>
      <c r="I555" t="s">
        <v>43</v>
      </c>
    </row>
    <row r="556" spans="1:9" x14ac:dyDescent="0.3">
      <c r="A556" s="1">
        <v>45434</v>
      </c>
      <c r="B556" s="4">
        <f t="shared" si="24"/>
        <v>2024</v>
      </c>
      <c r="C556" s="4">
        <f t="shared" si="25"/>
        <v>5</v>
      </c>
      <c r="D556" s="2">
        <v>45434.451238935188</v>
      </c>
      <c r="E556" s="4">
        <f t="shared" si="26"/>
        <v>10</v>
      </c>
      <c r="F556" t="s">
        <v>3</v>
      </c>
      <c r="G556" t="s">
        <v>205</v>
      </c>
      <c r="H556" s="3">
        <v>32.82</v>
      </c>
      <c r="I556" t="s">
        <v>14</v>
      </c>
    </row>
    <row r="557" spans="1:9" x14ac:dyDescent="0.3">
      <c r="A557" s="1">
        <v>45434</v>
      </c>
      <c r="B557" s="4">
        <f t="shared" si="24"/>
        <v>2024</v>
      </c>
      <c r="C557" s="4">
        <f t="shared" si="25"/>
        <v>5</v>
      </c>
      <c r="D557" s="2">
        <v>45434.4709984375</v>
      </c>
      <c r="E557" s="4">
        <f t="shared" si="26"/>
        <v>11</v>
      </c>
      <c r="F557" t="s">
        <v>3</v>
      </c>
      <c r="G557" t="s">
        <v>155</v>
      </c>
      <c r="H557" s="3">
        <v>27.92</v>
      </c>
      <c r="I557" t="s">
        <v>28</v>
      </c>
    </row>
    <row r="558" spans="1:9" x14ac:dyDescent="0.3">
      <c r="A558" s="1">
        <v>45434</v>
      </c>
      <c r="B558" s="4">
        <f t="shared" si="24"/>
        <v>2024</v>
      </c>
      <c r="C558" s="4">
        <f t="shared" si="25"/>
        <v>5</v>
      </c>
      <c r="D558" s="2">
        <v>45434.482580648146</v>
      </c>
      <c r="E558" s="4">
        <f t="shared" si="26"/>
        <v>11</v>
      </c>
      <c r="F558" t="s">
        <v>3</v>
      </c>
      <c r="G558" t="s">
        <v>111</v>
      </c>
      <c r="H558" s="3">
        <v>32.82</v>
      </c>
      <c r="I558" t="s">
        <v>14</v>
      </c>
    </row>
    <row r="559" spans="1:9" x14ac:dyDescent="0.3">
      <c r="A559" s="1">
        <v>45434</v>
      </c>
      <c r="B559" s="4">
        <f t="shared" si="24"/>
        <v>2024</v>
      </c>
      <c r="C559" s="4">
        <f t="shared" si="25"/>
        <v>5</v>
      </c>
      <c r="D559" s="2">
        <v>45434.520727326388</v>
      </c>
      <c r="E559" s="4">
        <f t="shared" si="26"/>
        <v>12</v>
      </c>
      <c r="F559" t="s">
        <v>3</v>
      </c>
      <c r="G559" t="s">
        <v>23</v>
      </c>
      <c r="H559" s="3">
        <v>27.92</v>
      </c>
      <c r="I559" t="s">
        <v>11</v>
      </c>
    </row>
    <row r="560" spans="1:9" x14ac:dyDescent="0.3">
      <c r="A560" s="1">
        <v>45434</v>
      </c>
      <c r="B560" s="4">
        <f t="shared" si="24"/>
        <v>2024</v>
      </c>
      <c r="C560" s="4">
        <f t="shared" si="25"/>
        <v>5</v>
      </c>
      <c r="D560" s="2">
        <v>45434.521335034726</v>
      </c>
      <c r="E560" s="4">
        <f t="shared" si="26"/>
        <v>12</v>
      </c>
      <c r="F560" t="s">
        <v>3</v>
      </c>
      <c r="G560" t="s">
        <v>23</v>
      </c>
      <c r="H560" s="3">
        <v>27.92</v>
      </c>
      <c r="I560" t="s">
        <v>11</v>
      </c>
    </row>
    <row r="561" spans="1:9" x14ac:dyDescent="0.3">
      <c r="A561" s="1">
        <v>45434</v>
      </c>
      <c r="B561" s="4">
        <f t="shared" si="24"/>
        <v>2024</v>
      </c>
      <c r="C561" s="4">
        <f t="shared" si="25"/>
        <v>5</v>
      </c>
      <c r="D561" s="2">
        <v>45434.583570590279</v>
      </c>
      <c r="E561" s="4">
        <f t="shared" si="26"/>
        <v>14</v>
      </c>
      <c r="F561" t="s">
        <v>3</v>
      </c>
      <c r="G561" t="s">
        <v>19</v>
      </c>
      <c r="H561" s="3">
        <v>32.82</v>
      </c>
      <c r="I561" t="s">
        <v>14</v>
      </c>
    </row>
    <row r="562" spans="1:9" x14ac:dyDescent="0.3">
      <c r="A562" s="1">
        <v>45434</v>
      </c>
      <c r="B562" s="4">
        <f t="shared" si="24"/>
        <v>2024</v>
      </c>
      <c r="C562" s="4">
        <f t="shared" si="25"/>
        <v>5</v>
      </c>
      <c r="D562" s="2">
        <v>45434.809005763891</v>
      </c>
      <c r="E562" s="4">
        <f t="shared" si="26"/>
        <v>19</v>
      </c>
      <c r="F562" t="s">
        <v>3</v>
      </c>
      <c r="G562" t="s">
        <v>148</v>
      </c>
      <c r="H562" s="3">
        <v>37.72</v>
      </c>
      <c r="I562" t="s">
        <v>43</v>
      </c>
    </row>
    <row r="563" spans="1:9" x14ac:dyDescent="0.3">
      <c r="A563" s="1">
        <v>45434</v>
      </c>
      <c r="B563" s="4">
        <f t="shared" si="24"/>
        <v>2024</v>
      </c>
      <c r="C563" s="4">
        <f t="shared" si="25"/>
        <v>5</v>
      </c>
      <c r="D563" s="2">
        <v>45434.809705717591</v>
      </c>
      <c r="E563" s="4">
        <f t="shared" si="26"/>
        <v>19</v>
      </c>
      <c r="F563" t="s">
        <v>3</v>
      </c>
      <c r="G563" t="s">
        <v>148</v>
      </c>
      <c r="H563" s="3">
        <v>37.72</v>
      </c>
      <c r="I563" t="s">
        <v>43</v>
      </c>
    </row>
    <row r="564" spans="1:9" x14ac:dyDescent="0.3">
      <c r="A564" s="1">
        <v>45434</v>
      </c>
      <c r="B564" s="4">
        <f t="shared" si="24"/>
        <v>2024</v>
      </c>
      <c r="C564" s="4">
        <f t="shared" si="25"/>
        <v>5</v>
      </c>
      <c r="D564" s="2">
        <v>45434.891585648147</v>
      </c>
      <c r="E564" s="4">
        <f t="shared" si="26"/>
        <v>21</v>
      </c>
      <c r="F564" t="s">
        <v>3</v>
      </c>
      <c r="G564" t="s">
        <v>194</v>
      </c>
      <c r="H564" s="3">
        <v>37.72</v>
      </c>
      <c r="I564" t="s">
        <v>9</v>
      </c>
    </row>
    <row r="565" spans="1:9" x14ac:dyDescent="0.3">
      <c r="A565" s="1">
        <v>45434</v>
      </c>
      <c r="B565" s="4">
        <f t="shared" si="24"/>
        <v>2024</v>
      </c>
      <c r="C565" s="4">
        <f t="shared" si="25"/>
        <v>5</v>
      </c>
      <c r="D565" s="2">
        <v>45434.892240555557</v>
      </c>
      <c r="E565" s="4">
        <f t="shared" si="26"/>
        <v>21</v>
      </c>
      <c r="F565" t="s">
        <v>3</v>
      </c>
      <c r="G565" t="s">
        <v>194</v>
      </c>
      <c r="H565" s="3">
        <v>37.72</v>
      </c>
      <c r="I565" t="s">
        <v>43</v>
      </c>
    </row>
    <row r="566" spans="1:9" x14ac:dyDescent="0.3">
      <c r="A566" s="1">
        <v>45435</v>
      </c>
      <c r="B566" s="4">
        <f t="shared" si="24"/>
        <v>2024</v>
      </c>
      <c r="C566" s="4">
        <f t="shared" si="25"/>
        <v>5</v>
      </c>
      <c r="D566" s="2">
        <v>45435.423838425922</v>
      </c>
      <c r="E566" s="4">
        <f t="shared" si="26"/>
        <v>10</v>
      </c>
      <c r="F566" t="s">
        <v>3</v>
      </c>
      <c r="G566" t="s">
        <v>215</v>
      </c>
      <c r="H566" s="3">
        <v>37.72</v>
      </c>
      <c r="I566" t="s">
        <v>43</v>
      </c>
    </row>
    <row r="567" spans="1:9" x14ac:dyDescent="0.3">
      <c r="A567" s="1">
        <v>45435</v>
      </c>
      <c r="B567" s="4">
        <f t="shared" si="24"/>
        <v>2024</v>
      </c>
      <c r="C567" s="4">
        <f t="shared" si="25"/>
        <v>5</v>
      </c>
      <c r="D567" s="2">
        <v>45435.515354224539</v>
      </c>
      <c r="E567" s="4">
        <f t="shared" si="26"/>
        <v>12</v>
      </c>
      <c r="F567" t="s">
        <v>3</v>
      </c>
      <c r="G567" t="s">
        <v>216</v>
      </c>
      <c r="H567" s="3">
        <v>23.02</v>
      </c>
      <c r="I567" t="s">
        <v>35</v>
      </c>
    </row>
    <row r="568" spans="1:9" x14ac:dyDescent="0.3">
      <c r="A568" s="1">
        <v>45435</v>
      </c>
      <c r="B568" s="4">
        <f t="shared" si="24"/>
        <v>2024</v>
      </c>
      <c r="C568" s="4">
        <f t="shared" si="25"/>
        <v>5</v>
      </c>
      <c r="D568" s="2">
        <v>45435.663386898152</v>
      </c>
      <c r="E568" s="4">
        <f t="shared" si="26"/>
        <v>15</v>
      </c>
      <c r="F568" t="s">
        <v>3</v>
      </c>
      <c r="G568" t="s">
        <v>194</v>
      </c>
      <c r="H568" s="3">
        <v>37.72</v>
      </c>
      <c r="I568" t="s">
        <v>43</v>
      </c>
    </row>
    <row r="569" spans="1:9" x14ac:dyDescent="0.3">
      <c r="A569" s="1">
        <v>45435</v>
      </c>
      <c r="B569" s="4">
        <f t="shared" si="24"/>
        <v>2024</v>
      </c>
      <c r="C569" s="4">
        <f t="shared" si="25"/>
        <v>5</v>
      </c>
      <c r="D569" s="2">
        <v>45435.664204131943</v>
      </c>
      <c r="E569" s="4">
        <f t="shared" si="26"/>
        <v>15</v>
      </c>
      <c r="F569" t="s">
        <v>3</v>
      </c>
      <c r="G569" t="s">
        <v>217</v>
      </c>
      <c r="H569" s="3">
        <v>37.72</v>
      </c>
      <c r="I569" t="s">
        <v>43</v>
      </c>
    </row>
    <row r="570" spans="1:9" x14ac:dyDescent="0.3">
      <c r="A570" s="1">
        <v>45435</v>
      </c>
      <c r="B570" s="4">
        <f t="shared" si="24"/>
        <v>2024</v>
      </c>
      <c r="C570" s="4">
        <f t="shared" si="25"/>
        <v>5</v>
      </c>
      <c r="D570" s="2">
        <v>45435.679329317129</v>
      </c>
      <c r="E570" s="4">
        <f t="shared" si="26"/>
        <v>16</v>
      </c>
      <c r="F570" t="s">
        <v>3</v>
      </c>
      <c r="G570" t="s">
        <v>194</v>
      </c>
      <c r="H570" s="3">
        <v>37.72</v>
      </c>
      <c r="I570" t="s">
        <v>43</v>
      </c>
    </row>
    <row r="571" spans="1:9" x14ac:dyDescent="0.3">
      <c r="A571" s="1">
        <v>45435</v>
      </c>
      <c r="B571" s="4">
        <f t="shared" si="24"/>
        <v>2024</v>
      </c>
      <c r="C571" s="4">
        <f t="shared" si="25"/>
        <v>5</v>
      </c>
      <c r="D571" s="2">
        <v>45435.695139386575</v>
      </c>
      <c r="E571" s="4">
        <f t="shared" si="26"/>
        <v>16</v>
      </c>
      <c r="F571" t="s">
        <v>3</v>
      </c>
      <c r="G571" t="s">
        <v>91</v>
      </c>
      <c r="H571" s="3">
        <v>37.72</v>
      </c>
      <c r="I571" t="s">
        <v>7</v>
      </c>
    </row>
    <row r="572" spans="1:9" x14ac:dyDescent="0.3">
      <c r="A572" s="1">
        <v>45435</v>
      </c>
      <c r="B572" s="4">
        <f t="shared" si="24"/>
        <v>2024</v>
      </c>
      <c r="C572" s="4">
        <f t="shared" si="25"/>
        <v>5</v>
      </c>
      <c r="D572" s="2">
        <v>45435.718440243058</v>
      </c>
      <c r="E572" s="4">
        <f t="shared" si="26"/>
        <v>17</v>
      </c>
      <c r="F572" t="s">
        <v>3</v>
      </c>
      <c r="G572" t="s">
        <v>167</v>
      </c>
      <c r="H572" s="3">
        <v>37.72</v>
      </c>
      <c r="I572" t="s">
        <v>43</v>
      </c>
    </row>
    <row r="573" spans="1:9" x14ac:dyDescent="0.3">
      <c r="A573" s="1">
        <v>45435</v>
      </c>
      <c r="B573" s="4">
        <f t="shared" si="24"/>
        <v>2024</v>
      </c>
      <c r="C573" s="4">
        <f t="shared" si="25"/>
        <v>5</v>
      </c>
      <c r="D573" s="2">
        <v>45435.719269224537</v>
      </c>
      <c r="E573" s="4">
        <f t="shared" si="26"/>
        <v>17</v>
      </c>
      <c r="F573" t="s">
        <v>3</v>
      </c>
      <c r="G573" t="s">
        <v>167</v>
      </c>
      <c r="H573" s="3">
        <v>37.72</v>
      </c>
      <c r="I573" t="s">
        <v>7</v>
      </c>
    </row>
    <row r="574" spans="1:9" x14ac:dyDescent="0.3">
      <c r="A574" s="1">
        <v>45435</v>
      </c>
      <c r="B574" s="4">
        <f t="shared" si="24"/>
        <v>2024</v>
      </c>
      <c r="C574" s="4">
        <f t="shared" si="25"/>
        <v>5</v>
      </c>
      <c r="D574" s="2">
        <v>45435.79437333333</v>
      </c>
      <c r="E574" s="4">
        <f t="shared" si="26"/>
        <v>19</v>
      </c>
      <c r="F574" t="s">
        <v>3</v>
      </c>
      <c r="G574" t="s">
        <v>218</v>
      </c>
      <c r="H574" s="3">
        <v>27.92</v>
      </c>
      <c r="I574" t="s">
        <v>28</v>
      </c>
    </row>
    <row r="575" spans="1:9" x14ac:dyDescent="0.3">
      <c r="A575" s="1">
        <v>45435</v>
      </c>
      <c r="B575" s="4">
        <f t="shared" si="24"/>
        <v>2024</v>
      </c>
      <c r="C575" s="4">
        <f t="shared" si="25"/>
        <v>5</v>
      </c>
      <c r="D575" s="2">
        <v>45435.803801284725</v>
      </c>
      <c r="E575" s="4">
        <f t="shared" si="26"/>
        <v>19</v>
      </c>
      <c r="F575" t="s">
        <v>3</v>
      </c>
      <c r="G575" t="s">
        <v>148</v>
      </c>
      <c r="H575" s="3">
        <v>37.72</v>
      </c>
      <c r="I575" t="s">
        <v>43</v>
      </c>
    </row>
    <row r="576" spans="1:9" x14ac:dyDescent="0.3">
      <c r="A576" s="1">
        <v>45435</v>
      </c>
      <c r="B576" s="4">
        <f t="shared" si="24"/>
        <v>2024</v>
      </c>
      <c r="C576" s="4">
        <f t="shared" si="25"/>
        <v>5</v>
      </c>
      <c r="D576" s="2">
        <v>45435.804472430558</v>
      </c>
      <c r="E576" s="4">
        <f t="shared" si="26"/>
        <v>19</v>
      </c>
      <c r="F576" t="s">
        <v>3</v>
      </c>
      <c r="G576" t="s">
        <v>219</v>
      </c>
      <c r="H576" s="3">
        <v>37.72</v>
      </c>
      <c r="I576" t="s">
        <v>43</v>
      </c>
    </row>
    <row r="577" spans="1:9" x14ac:dyDescent="0.3">
      <c r="A577" s="1">
        <v>45435</v>
      </c>
      <c r="B577" s="4">
        <f t="shared" ref="B577:B640" si="27">YEAR(A577)</f>
        <v>2024</v>
      </c>
      <c r="C577" s="4">
        <f t="shared" ref="C577:C640" si="28">MONTH(A577)</f>
        <v>5</v>
      </c>
      <c r="D577" s="2">
        <v>45435.821198449077</v>
      </c>
      <c r="E577" s="4">
        <f t="shared" ref="E577:E640" si="29">HOUR(D577)</f>
        <v>19</v>
      </c>
      <c r="F577" t="s">
        <v>3</v>
      </c>
      <c r="G577" t="s">
        <v>220</v>
      </c>
      <c r="H577" s="3">
        <v>37.72</v>
      </c>
      <c r="I577" t="s">
        <v>43</v>
      </c>
    </row>
    <row r="578" spans="1:9" x14ac:dyDescent="0.3">
      <c r="A578" s="1">
        <v>45435</v>
      </c>
      <c r="B578" s="4">
        <f t="shared" si="27"/>
        <v>2024</v>
      </c>
      <c r="C578" s="4">
        <f t="shared" si="28"/>
        <v>5</v>
      </c>
      <c r="D578" s="2">
        <v>45435.84376653935</v>
      </c>
      <c r="E578" s="4">
        <f t="shared" si="29"/>
        <v>20</v>
      </c>
      <c r="F578" t="s">
        <v>3</v>
      </c>
      <c r="G578" t="s">
        <v>221</v>
      </c>
      <c r="H578" s="3">
        <v>37.72</v>
      </c>
      <c r="I578" t="s">
        <v>43</v>
      </c>
    </row>
    <row r="579" spans="1:9" x14ac:dyDescent="0.3">
      <c r="A579" s="1">
        <v>45435</v>
      </c>
      <c r="B579" s="4">
        <f t="shared" si="27"/>
        <v>2024</v>
      </c>
      <c r="C579" s="4">
        <f t="shared" si="28"/>
        <v>5</v>
      </c>
      <c r="D579" s="2">
        <v>45435.844724594906</v>
      </c>
      <c r="E579" s="4">
        <f t="shared" si="29"/>
        <v>20</v>
      </c>
      <c r="F579" t="s">
        <v>3</v>
      </c>
      <c r="G579" t="s">
        <v>221</v>
      </c>
      <c r="H579" s="3">
        <v>37.72</v>
      </c>
      <c r="I579" t="s">
        <v>7</v>
      </c>
    </row>
    <row r="580" spans="1:9" x14ac:dyDescent="0.3">
      <c r="A580" s="1">
        <v>45435</v>
      </c>
      <c r="B580" s="4">
        <f t="shared" si="27"/>
        <v>2024</v>
      </c>
      <c r="C580" s="4">
        <f t="shared" si="28"/>
        <v>5</v>
      </c>
      <c r="D580" s="2">
        <v>45435.950125150463</v>
      </c>
      <c r="E580" s="4">
        <f t="shared" si="29"/>
        <v>22</v>
      </c>
      <c r="F580" t="s">
        <v>3</v>
      </c>
      <c r="G580" t="s">
        <v>222</v>
      </c>
      <c r="H580" s="3">
        <v>32.82</v>
      </c>
      <c r="I580" t="s">
        <v>14</v>
      </c>
    </row>
    <row r="581" spans="1:9" hidden="1" x14ac:dyDescent="0.3">
      <c r="A581" s="1">
        <v>45435</v>
      </c>
      <c r="B581" s="4">
        <f t="shared" si="27"/>
        <v>2024</v>
      </c>
      <c r="C581" s="4">
        <f t="shared" si="28"/>
        <v>5</v>
      </c>
      <c r="D581" s="2">
        <v>45435.955288495374</v>
      </c>
      <c r="E581" s="4">
        <f t="shared" si="29"/>
        <v>22</v>
      </c>
      <c r="F581" t="s">
        <v>21</v>
      </c>
      <c r="H581" s="3">
        <v>39</v>
      </c>
      <c r="I581" t="s">
        <v>9</v>
      </c>
    </row>
    <row r="582" spans="1:9" x14ac:dyDescent="0.3">
      <c r="A582" s="1">
        <v>45436</v>
      </c>
      <c r="B582" s="4">
        <f t="shared" si="27"/>
        <v>2024</v>
      </c>
      <c r="C582" s="4">
        <f t="shared" si="28"/>
        <v>5</v>
      </c>
      <c r="D582" s="2">
        <v>45436.466657199075</v>
      </c>
      <c r="E582" s="4">
        <f t="shared" si="29"/>
        <v>11</v>
      </c>
      <c r="F582" t="s">
        <v>3</v>
      </c>
      <c r="G582" t="s">
        <v>155</v>
      </c>
      <c r="H582" s="3">
        <v>27.92</v>
      </c>
      <c r="I582" t="s">
        <v>28</v>
      </c>
    </row>
    <row r="583" spans="1:9" x14ac:dyDescent="0.3">
      <c r="A583" s="1">
        <v>45436</v>
      </c>
      <c r="B583" s="4">
        <f t="shared" si="27"/>
        <v>2024</v>
      </c>
      <c r="C583" s="4">
        <f t="shared" si="28"/>
        <v>5</v>
      </c>
      <c r="D583" s="2">
        <v>45436.468846539348</v>
      </c>
      <c r="E583" s="4">
        <f t="shared" si="29"/>
        <v>11</v>
      </c>
      <c r="F583" t="s">
        <v>3</v>
      </c>
      <c r="G583" t="s">
        <v>23</v>
      </c>
      <c r="H583" s="3">
        <v>27.92</v>
      </c>
      <c r="I583" t="s">
        <v>11</v>
      </c>
    </row>
    <row r="584" spans="1:9" x14ac:dyDescent="0.3">
      <c r="A584" s="1">
        <v>45436</v>
      </c>
      <c r="B584" s="4">
        <f t="shared" si="27"/>
        <v>2024</v>
      </c>
      <c r="C584" s="4">
        <f t="shared" si="28"/>
        <v>5</v>
      </c>
      <c r="D584" s="2">
        <v>45436.469595092596</v>
      </c>
      <c r="E584" s="4">
        <f t="shared" si="29"/>
        <v>11</v>
      </c>
      <c r="F584" t="s">
        <v>3</v>
      </c>
      <c r="G584" t="s">
        <v>23</v>
      </c>
      <c r="H584" s="3">
        <v>27.92</v>
      </c>
      <c r="I584" t="s">
        <v>11</v>
      </c>
    </row>
    <row r="585" spans="1:9" x14ac:dyDescent="0.3">
      <c r="A585" s="1">
        <v>45436</v>
      </c>
      <c r="B585" s="4">
        <f t="shared" si="27"/>
        <v>2024</v>
      </c>
      <c r="C585" s="4">
        <f t="shared" si="28"/>
        <v>5</v>
      </c>
      <c r="D585" s="2">
        <v>45436.671757129632</v>
      </c>
      <c r="E585" s="4">
        <f t="shared" si="29"/>
        <v>16</v>
      </c>
      <c r="F585" t="s">
        <v>3</v>
      </c>
      <c r="G585" t="s">
        <v>95</v>
      </c>
      <c r="H585" s="3">
        <v>37.72</v>
      </c>
      <c r="I585" t="s">
        <v>9</v>
      </c>
    </row>
    <row r="586" spans="1:9" x14ac:dyDescent="0.3">
      <c r="A586" s="1">
        <v>45436</v>
      </c>
      <c r="B586" s="4">
        <f t="shared" si="27"/>
        <v>2024</v>
      </c>
      <c r="C586" s="4">
        <f t="shared" si="28"/>
        <v>5</v>
      </c>
      <c r="D586" s="2">
        <v>45436.762272337961</v>
      </c>
      <c r="E586" s="4">
        <f t="shared" si="29"/>
        <v>18</v>
      </c>
      <c r="F586" t="s">
        <v>3</v>
      </c>
      <c r="G586" t="s">
        <v>223</v>
      </c>
      <c r="H586" s="3">
        <v>27.92</v>
      </c>
      <c r="I586" t="s">
        <v>28</v>
      </c>
    </row>
    <row r="587" spans="1:9" x14ac:dyDescent="0.3">
      <c r="A587" s="1">
        <v>45436</v>
      </c>
      <c r="B587" s="4">
        <f t="shared" si="27"/>
        <v>2024</v>
      </c>
      <c r="C587" s="4">
        <f t="shared" si="28"/>
        <v>5</v>
      </c>
      <c r="D587" s="2">
        <v>45436.762924745373</v>
      </c>
      <c r="E587" s="4">
        <f t="shared" si="29"/>
        <v>18</v>
      </c>
      <c r="F587" t="s">
        <v>3</v>
      </c>
      <c r="G587" t="s">
        <v>223</v>
      </c>
      <c r="H587" s="3">
        <v>27.92</v>
      </c>
      <c r="I587" t="s">
        <v>28</v>
      </c>
    </row>
    <row r="588" spans="1:9" x14ac:dyDescent="0.3">
      <c r="A588" s="1">
        <v>45436</v>
      </c>
      <c r="B588" s="4">
        <f t="shared" si="27"/>
        <v>2024</v>
      </c>
      <c r="C588" s="4">
        <f t="shared" si="28"/>
        <v>5</v>
      </c>
      <c r="D588" s="2">
        <v>45436.937965254627</v>
      </c>
      <c r="E588" s="4">
        <f t="shared" si="29"/>
        <v>22</v>
      </c>
      <c r="F588" t="s">
        <v>3</v>
      </c>
      <c r="G588" t="s">
        <v>224</v>
      </c>
      <c r="H588" s="3">
        <v>32.82</v>
      </c>
      <c r="I588" t="s">
        <v>14</v>
      </c>
    </row>
    <row r="589" spans="1:9" hidden="1" x14ac:dyDescent="0.3">
      <c r="A589" s="1">
        <v>45437</v>
      </c>
      <c r="B589" s="4">
        <f t="shared" si="27"/>
        <v>2024</v>
      </c>
      <c r="C589" s="4">
        <f t="shared" si="28"/>
        <v>5</v>
      </c>
      <c r="D589" s="2">
        <v>45437.320125208331</v>
      </c>
      <c r="E589" s="4">
        <f t="shared" si="29"/>
        <v>7</v>
      </c>
      <c r="F589" t="s">
        <v>21</v>
      </c>
      <c r="H589" s="3">
        <v>29</v>
      </c>
      <c r="I589" t="s">
        <v>11</v>
      </c>
    </row>
    <row r="590" spans="1:9" x14ac:dyDescent="0.3">
      <c r="A590" s="1">
        <v>45437</v>
      </c>
      <c r="B590" s="4">
        <f t="shared" si="27"/>
        <v>2024</v>
      </c>
      <c r="C590" s="4">
        <f t="shared" si="28"/>
        <v>5</v>
      </c>
      <c r="D590" s="2">
        <v>45437.509645694445</v>
      </c>
      <c r="E590" s="4">
        <f t="shared" si="29"/>
        <v>12</v>
      </c>
      <c r="F590" t="s">
        <v>3</v>
      </c>
      <c r="G590" t="s">
        <v>225</v>
      </c>
      <c r="H590" s="3">
        <v>37.72</v>
      </c>
      <c r="I590" t="s">
        <v>7</v>
      </c>
    </row>
    <row r="591" spans="1:9" hidden="1" x14ac:dyDescent="0.3">
      <c r="A591" s="1">
        <v>45437</v>
      </c>
      <c r="B591" s="4">
        <f t="shared" si="27"/>
        <v>2024</v>
      </c>
      <c r="C591" s="4">
        <f t="shared" si="28"/>
        <v>5</v>
      </c>
      <c r="D591" s="2">
        <v>45437.528050775465</v>
      </c>
      <c r="E591" s="4">
        <f t="shared" si="29"/>
        <v>12</v>
      </c>
      <c r="F591" t="s">
        <v>21</v>
      </c>
      <c r="H591" s="3">
        <v>29</v>
      </c>
      <c r="I591" t="s">
        <v>11</v>
      </c>
    </row>
    <row r="592" spans="1:9" x14ac:dyDescent="0.3">
      <c r="A592" s="1">
        <v>45437</v>
      </c>
      <c r="B592" s="4">
        <f t="shared" si="27"/>
        <v>2024</v>
      </c>
      <c r="C592" s="4">
        <f t="shared" si="28"/>
        <v>5</v>
      </c>
      <c r="D592" s="2">
        <v>45437.529285393517</v>
      </c>
      <c r="E592" s="4">
        <f t="shared" si="29"/>
        <v>12</v>
      </c>
      <c r="F592" t="s">
        <v>3</v>
      </c>
      <c r="G592" t="s">
        <v>226</v>
      </c>
      <c r="H592" s="3">
        <v>32.82</v>
      </c>
      <c r="I592" t="s">
        <v>14</v>
      </c>
    </row>
    <row r="593" spans="1:9" x14ac:dyDescent="0.3">
      <c r="A593" s="1">
        <v>45437</v>
      </c>
      <c r="B593" s="4">
        <f t="shared" si="27"/>
        <v>2024</v>
      </c>
      <c r="C593" s="4">
        <f t="shared" si="28"/>
        <v>5</v>
      </c>
      <c r="D593" s="2">
        <v>45437.530014756943</v>
      </c>
      <c r="E593" s="4">
        <f t="shared" si="29"/>
        <v>12</v>
      </c>
      <c r="F593" t="s">
        <v>3</v>
      </c>
      <c r="G593" t="s">
        <v>226</v>
      </c>
      <c r="H593" s="3">
        <v>32.82</v>
      </c>
      <c r="I593" t="s">
        <v>14</v>
      </c>
    </row>
    <row r="594" spans="1:9" x14ac:dyDescent="0.3">
      <c r="A594" s="1">
        <v>45437</v>
      </c>
      <c r="B594" s="4">
        <f t="shared" si="27"/>
        <v>2024</v>
      </c>
      <c r="C594" s="4">
        <f t="shared" si="28"/>
        <v>5</v>
      </c>
      <c r="D594" s="2">
        <v>45437.540417233795</v>
      </c>
      <c r="E594" s="4">
        <f t="shared" si="29"/>
        <v>12</v>
      </c>
      <c r="F594" t="s">
        <v>3</v>
      </c>
      <c r="G594" t="s">
        <v>227</v>
      </c>
      <c r="H594" s="3">
        <v>32.82</v>
      </c>
      <c r="I594" t="s">
        <v>14</v>
      </c>
    </row>
    <row r="595" spans="1:9" x14ac:dyDescent="0.3">
      <c r="A595" s="1">
        <v>45437</v>
      </c>
      <c r="B595" s="4">
        <f t="shared" si="27"/>
        <v>2024</v>
      </c>
      <c r="C595" s="4">
        <f t="shared" si="28"/>
        <v>5</v>
      </c>
      <c r="D595" s="2">
        <v>45437.69941616898</v>
      </c>
      <c r="E595" s="4">
        <f t="shared" si="29"/>
        <v>16</v>
      </c>
      <c r="F595" t="s">
        <v>3</v>
      </c>
      <c r="G595" t="s">
        <v>54</v>
      </c>
      <c r="H595" s="3">
        <v>32.82</v>
      </c>
      <c r="I595" t="s">
        <v>14</v>
      </c>
    </row>
    <row r="596" spans="1:9" x14ac:dyDescent="0.3">
      <c r="A596" s="1">
        <v>45437</v>
      </c>
      <c r="B596" s="4">
        <f t="shared" si="27"/>
        <v>2024</v>
      </c>
      <c r="C596" s="4">
        <f t="shared" si="28"/>
        <v>5</v>
      </c>
      <c r="D596" s="2">
        <v>45437.700194837962</v>
      </c>
      <c r="E596" s="4">
        <f t="shared" si="29"/>
        <v>16</v>
      </c>
      <c r="F596" t="s">
        <v>3</v>
      </c>
      <c r="G596" t="s">
        <v>54</v>
      </c>
      <c r="H596" s="3">
        <v>27.92</v>
      </c>
      <c r="I596" t="s">
        <v>11</v>
      </c>
    </row>
    <row r="597" spans="1:9" x14ac:dyDescent="0.3">
      <c r="A597" s="1">
        <v>45438</v>
      </c>
      <c r="B597" s="4">
        <f t="shared" si="27"/>
        <v>2024</v>
      </c>
      <c r="C597" s="4">
        <f t="shared" si="28"/>
        <v>5</v>
      </c>
      <c r="D597" s="2">
        <v>45438.430581400462</v>
      </c>
      <c r="E597" s="4">
        <f t="shared" si="29"/>
        <v>10</v>
      </c>
      <c r="F597" t="s">
        <v>3</v>
      </c>
      <c r="G597" t="s">
        <v>6</v>
      </c>
      <c r="H597" s="3">
        <v>37.72</v>
      </c>
      <c r="I597" t="s">
        <v>7</v>
      </c>
    </row>
    <row r="598" spans="1:9" x14ac:dyDescent="0.3">
      <c r="A598" s="1">
        <v>45438</v>
      </c>
      <c r="B598" s="4">
        <f t="shared" si="27"/>
        <v>2024</v>
      </c>
      <c r="C598" s="4">
        <f t="shared" si="28"/>
        <v>5</v>
      </c>
      <c r="D598" s="2">
        <v>45438.600576527781</v>
      </c>
      <c r="E598" s="4">
        <f t="shared" si="29"/>
        <v>14</v>
      </c>
      <c r="F598" t="s">
        <v>3</v>
      </c>
      <c r="G598" t="s">
        <v>228</v>
      </c>
      <c r="H598" s="3">
        <v>32.82</v>
      </c>
      <c r="I598" t="s">
        <v>14</v>
      </c>
    </row>
    <row r="599" spans="1:9" x14ac:dyDescent="0.3">
      <c r="A599" s="1">
        <v>45438</v>
      </c>
      <c r="B599" s="4">
        <f t="shared" si="27"/>
        <v>2024</v>
      </c>
      <c r="C599" s="4">
        <f t="shared" si="28"/>
        <v>5</v>
      </c>
      <c r="D599" s="2">
        <v>45438.601449629627</v>
      </c>
      <c r="E599" s="4">
        <f t="shared" si="29"/>
        <v>14</v>
      </c>
      <c r="F599" t="s">
        <v>3</v>
      </c>
      <c r="G599" t="s">
        <v>229</v>
      </c>
      <c r="H599" s="3">
        <v>27.92</v>
      </c>
      <c r="I599" t="s">
        <v>28</v>
      </c>
    </row>
    <row r="600" spans="1:9" x14ac:dyDescent="0.3">
      <c r="A600" s="1">
        <v>45438</v>
      </c>
      <c r="B600" s="4">
        <f t="shared" si="27"/>
        <v>2024</v>
      </c>
      <c r="C600" s="4">
        <f t="shared" si="28"/>
        <v>5</v>
      </c>
      <c r="D600" s="2">
        <v>45438.611792615739</v>
      </c>
      <c r="E600" s="4">
        <f t="shared" si="29"/>
        <v>14</v>
      </c>
      <c r="F600" t="s">
        <v>3</v>
      </c>
      <c r="G600" t="s">
        <v>230</v>
      </c>
      <c r="H600" s="3">
        <v>32.82</v>
      </c>
      <c r="I600" t="s">
        <v>14</v>
      </c>
    </row>
    <row r="601" spans="1:9" x14ac:dyDescent="0.3">
      <c r="A601" s="1">
        <v>45438</v>
      </c>
      <c r="B601" s="4">
        <f t="shared" si="27"/>
        <v>2024</v>
      </c>
      <c r="C601" s="4">
        <f t="shared" si="28"/>
        <v>5</v>
      </c>
      <c r="D601" s="2">
        <v>45438.721707418983</v>
      </c>
      <c r="E601" s="4">
        <f t="shared" si="29"/>
        <v>17</v>
      </c>
      <c r="F601" t="s">
        <v>3</v>
      </c>
      <c r="G601" t="s">
        <v>231</v>
      </c>
      <c r="H601" s="3">
        <v>37.72</v>
      </c>
      <c r="I601" t="s">
        <v>43</v>
      </c>
    </row>
    <row r="602" spans="1:9" x14ac:dyDescent="0.3">
      <c r="A602" s="1">
        <v>45438</v>
      </c>
      <c r="B602" s="4">
        <f t="shared" si="27"/>
        <v>2024</v>
      </c>
      <c r="C602" s="4">
        <f t="shared" si="28"/>
        <v>5</v>
      </c>
      <c r="D602" s="2">
        <v>45438.756861608796</v>
      </c>
      <c r="E602" s="4">
        <f t="shared" si="29"/>
        <v>18</v>
      </c>
      <c r="F602" t="s">
        <v>3</v>
      </c>
      <c r="G602" t="s">
        <v>232</v>
      </c>
      <c r="H602" s="3">
        <v>37.72</v>
      </c>
      <c r="I602" t="s">
        <v>9</v>
      </c>
    </row>
    <row r="603" spans="1:9" x14ac:dyDescent="0.3">
      <c r="A603" s="1">
        <v>45438</v>
      </c>
      <c r="B603" s="4">
        <f t="shared" si="27"/>
        <v>2024</v>
      </c>
      <c r="C603" s="4">
        <f t="shared" si="28"/>
        <v>5</v>
      </c>
      <c r="D603" s="2">
        <v>45438.757664398145</v>
      </c>
      <c r="E603" s="4">
        <f t="shared" si="29"/>
        <v>18</v>
      </c>
      <c r="F603" t="s">
        <v>3</v>
      </c>
      <c r="G603" t="s">
        <v>232</v>
      </c>
      <c r="H603" s="3">
        <v>37.72</v>
      </c>
      <c r="I603" t="s">
        <v>9</v>
      </c>
    </row>
    <row r="604" spans="1:9" x14ac:dyDescent="0.3">
      <c r="A604" s="1">
        <v>45438</v>
      </c>
      <c r="B604" s="4">
        <f t="shared" si="27"/>
        <v>2024</v>
      </c>
      <c r="C604" s="4">
        <f t="shared" si="28"/>
        <v>5</v>
      </c>
      <c r="D604" s="2">
        <v>45438.759193275466</v>
      </c>
      <c r="E604" s="4">
        <f t="shared" si="29"/>
        <v>18</v>
      </c>
      <c r="F604" t="s">
        <v>3</v>
      </c>
      <c r="G604" t="s">
        <v>232</v>
      </c>
      <c r="H604" s="3">
        <v>27.92</v>
      </c>
      <c r="I604" t="s">
        <v>11</v>
      </c>
    </row>
    <row r="605" spans="1:9" x14ac:dyDescent="0.3">
      <c r="A605" s="1">
        <v>45438</v>
      </c>
      <c r="B605" s="4">
        <f t="shared" si="27"/>
        <v>2024</v>
      </c>
      <c r="C605" s="4">
        <f t="shared" si="28"/>
        <v>5</v>
      </c>
      <c r="D605" s="2">
        <v>45438.777300856484</v>
      </c>
      <c r="E605" s="4">
        <f t="shared" si="29"/>
        <v>18</v>
      </c>
      <c r="F605" t="s">
        <v>3</v>
      </c>
      <c r="G605" t="s">
        <v>233</v>
      </c>
      <c r="H605" s="3">
        <v>37.72</v>
      </c>
      <c r="I605" t="s">
        <v>7</v>
      </c>
    </row>
    <row r="606" spans="1:9" x14ac:dyDescent="0.3">
      <c r="A606" s="1">
        <v>45438</v>
      </c>
      <c r="B606" s="4">
        <f t="shared" si="27"/>
        <v>2024</v>
      </c>
      <c r="C606" s="4">
        <f t="shared" si="28"/>
        <v>5</v>
      </c>
      <c r="D606" s="2">
        <v>45438.874478634258</v>
      </c>
      <c r="E606" s="4">
        <f t="shared" si="29"/>
        <v>20</v>
      </c>
      <c r="F606" t="s">
        <v>3</v>
      </c>
      <c r="G606" t="s">
        <v>234</v>
      </c>
      <c r="H606" s="3">
        <v>37.72</v>
      </c>
      <c r="I606" t="s">
        <v>9</v>
      </c>
    </row>
    <row r="607" spans="1:9" x14ac:dyDescent="0.3">
      <c r="A607" s="1">
        <v>45438</v>
      </c>
      <c r="B607" s="4">
        <f t="shared" si="27"/>
        <v>2024</v>
      </c>
      <c r="C607" s="4">
        <f t="shared" si="28"/>
        <v>5</v>
      </c>
      <c r="D607" s="2">
        <v>45438.875064444444</v>
      </c>
      <c r="E607" s="4">
        <f t="shared" si="29"/>
        <v>21</v>
      </c>
      <c r="F607" t="s">
        <v>3</v>
      </c>
      <c r="G607" t="s">
        <v>234</v>
      </c>
      <c r="H607" s="3">
        <v>37.72</v>
      </c>
      <c r="I607" t="s">
        <v>43</v>
      </c>
    </row>
    <row r="608" spans="1:9" x14ac:dyDescent="0.3">
      <c r="A608" s="1">
        <v>45438</v>
      </c>
      <c r="B608" s="4">
        <f t="shared" si="27"/>
        <v>2024</v>
      </c>
      <c r="C608" s="4">
        <f t="shared" si="28"/>
        <v>5</v>
      </c>
      <c r="D608" s="2">
        <v>45438.876816377313</v>
      </c>
      <c r="E608" s="4">
        <f t="shared" si="29"/>
        <v>21</v>
      </c>
      <c r="F608" t="s">
        <v>3</v>
      </c>
      <c r="G608" t="s">
        <v>235</v>
      </c>
      <c r="H608" s="3">
        <v>27.92</v>
      </c>
      <c r="I608" t="s">
        <v>28</v>
      </c>
    </row>
    <row r="609" spans="1:9" x14ac:dyDescent="0.3">
      <c r="A609" s="1">
        <v>45438</v>
      </c>
      <c r="B609" s="4">
        <f t="shared" si="27"/>
        <v>2024</v>
      </c>
      <c r="C609" s="4">
        <f t="shared" si="28"/>
        <v>5</v>
      </c>
      <c r="D609" s="2">
        <v>45438.877682546299</v>
      </c>
      <c r="E609" s="4">
        <f t="shared" si="29"/>
        <v>21</v>
      </c>
      <c r="F609" t="s">
        <v>3</v>
      </c>
      <c r="G609" t="s">
        <v>236</v>
      </c>
      <c r="H609" s="3">
        <v>37.72</v>
      </c>
      <c r="I609" t="s">
        <v>43</v>
      </c>
    </row>
    <row r="610" spans="1:9" x14ac:dyDescent="0.3">
      <c r="A610" s="1">
        <v>45438</v>
      </c>
      <c r="B610" s="4">
        <f t="shared" si="27"/>
        <v>2024</v>
      </c>
      <c r="C610" s="4">
        <f t="shared" si="28"/>
        <v>5</v>
      </c>
      <c r="D610" s="2">
        <v>45438.878458611114</v>
      </c>
      <c r="E610" s="4">
        <f t="shared" si="29"/>
        <v>21</v>
      </c>
      <c r="F610" t="s">
        <v>3</v>
      </c>
      <c r="G610" t="s">
        <v>235</v>
      </c>
      <c r="H610" s="3">
        <v>37.72</v>
      </c>
      <c r="I610" t="s">
        <v>7</v>
      </c>
    </row>
    <row r="611" spans="1:9" x14ac:dyDescent="0.3">
      <c r="A611" s="1">
        <v>45438</v>
      </c>
      <c r="B611" s="4">
        <f t="shared" si="27"/>
        <v>2024</v>
      </c>
      <c r="C611" s="4">
        <f t="shared" si="28"/>
        <v>5</v>
      </c>
      <c r="D611" s="2">
        <v>45438.879197002316</v>
      </c>
      <c r="E611" s="4">
        <f t="shared" si="29"/>
        <v>21</v>
      </c>
      <c r="F611" t="s">
        <v>3</v>
      </c>
      <c r="G611" t="s">
        <v>237</v>
      </c>
      <c r="H611" s="3">
        <v>37.72</v>
      </c>
      <c r="I611" t="s">
        <v>43</v>
      </c>
    </row>
    <row r="612" spans="1:9" x14ac:dyDescent="0.3">
      <c r="A612" s="1">
        <v>45439</v>
      </c>
      <c r="B612" s="4">
        <f t="shared" si="27"/>
        <v>2024</v>
      </c>
      <c r="C612" s="4">
        <f t="shared" si="28"/>
        <v>5</v>
      </c>
      <c r="D612" s="2">
        <v>45439.482583935183</v>
      </c>
      <c r="E612" s="4">
        <f t="shared" si="29"/>
        <v>11</v>
      </c>
      <c r="F612" t="s">
        <v>3</v>
      </c>
      <c r="G612" t="s">
        <v>23</v>
      </c>
      <c r="H612" s="3">
        <v>27.92</v>
      </c>
      <c r="I612" t="s">
        <v>11</v>
      </c>
    </row>
    <row r="613" spans="1:9" x14ac:dyDescent="0.3">
      <c r="A613" s="1">
        <v>45439</v>
      </c>
      <c r="B613" s="4">
        <f t="shared" si="27"/>
        <v>2024</v>
      </c>
      <c r="C613" s="4">
        <f t="shared" si="28"/>
        <v>5</v>
      </c>
      <c r="D613" s="2">
        <v>45439.587056574077</v>
      </c>
      <c r="E613" s="4">
        <f t="shared" si="29"/>
        <v>14</v>
      </c>
      <c r="F613" t="s">
        <v>3</v>
      </c>
      <c r="G613" t="s">
        <v>238</v>
      </c>
      <c r="H613" s="3">
        <v>32.82</v>
      </c>
      <c r="I613" t="s">
        <v>14</v>
      </c>
    </row>
    <row r="614" spans="1:9" x14ac:dyDescent="0.3">
      <c r="A614" s="1">
        <v>45439</v>
      </c>
      <c r="B614" s="4">
        <f t="shared" si="27"/>
        <v>2024</v>
      </c>
      <c r="C614" s="4">
        <f t="shared" si="28"/>
        <v>5</v>
      </c>
      <c r="D614" s="2">
        <v>45439.588004212965</v>
      </c>
      <c r="E614" s="4">
        <f t="shared" si="29"/>
        <v>14</v>
      </c>
      <c r="F614" t="s">
        <v>3</v>
      </c>
      <c r="G614" t="s">
        <v>238</v>
      </c>
      <c r="H614" s="3">
        <v>37.72</v>
      </c>
      <c r="I614" t="s">
        <v>18</v>
      </c>
    </row>
    <row r="615" spans="1:9" x14ac:dyDescent="0.3">
      <c r="A615" s="1">
        <v>45439</v>
      </c>
      <c r="B615" s="4">
        <f t="shared" si="27"/>
        <v>2024</v>
      </c>
      <c r="C615" s="4">
        <f t="shared" si="28"/>
        <v>5</v>
      </c>
      <c r="D615" s="2">
        <v>45439.633033113423</v>
      </c>
      <c r="E615" s="4">
        <f t="shared" si="29"/>
        <v>15</v>
      </c>
      <c r="F615" t="s">
        <v>3</v>
      </c>
      <c r="G615" t="s">
        <v>239</v>
      </c>
      <c r="H615" s="3">
        <v>27.92</v>
      </c>
      <c r="I615" t="s">
        <v>11</v>
      </c>
    </row>
    <row r="616" spans="1:9" x14ac:dyDescent="0.3">
      <c r="A616" s="1">
        <v>45439</v>
      </c>
      <c r="B616" s="4">
        <f t="shared" si="27"/>
        <v>2024</v>
      </c>
      <c r="C616" s="4">
        <f t="shared" si="28"/>
        <v>5</v>
      </c>
      <c r="D616" s="2">
        <v>45439.634789212963</v>
      </c>
      <c r="E616" s="4">
        <f t="shared" si="29"/>
        <v>15</v>
      </c>
      <c r="F616" t="s">
        <v>3</v>
      </c>
      <c r="G616" t="s">
        <v>239</v>
      </c>
      <c r="H616" s="3">
        <v>27.92</v>
      </c>
      <c r="I616" t="s">
        <v>11</v>
      </c>
    </row>
    <row r="617" spans="1:9" x14ac:dyDescent="0.3">
      <c r="A617" s="1">
        <v>45439</v>
      </c>
      <c r="B617" s="4">
        <f t="shared" si="27"/>
        <v>2024</v>
      </c>
      <c r="C617" s="4">
        <f t="shared" si="28"/>
        <v>5</v>
      </c>
      <c r="D617" s="2">
        <v>45439.743700960651</v>
      </c>
      <c r="E617" s="4">
        <f t="shared" si="29"/>
        <v>17</v>
      </c>
      <c r="F617" t="s">
        <v>3</v>
      </c>
      <c r="G617" t="s">
        <v>217</v>
      </c>
      <c r="H617" s="3">
        <v>37.72</v>
      </c>
      <c r="I617" t="s">
        <v>7</v>
      </c>
    </row>
    <row r="618" spans="1:9" x14ac:dyDescent="0.3">
      <c r="A618" s="1">
        <v>45439</v>
      </c>
      <c r="B618" s="4">
        <f t="shared" si="27"/>
        <v>2024</v>
      </c>
      <c r="C618" s="4">
        <f t="shared" si="28"/>
        <v>5</v>
      </c>
      <c r="D618" s="2">
        <v>45439.750590081021</v>
      </c>
      <c r="E618" s="4">
        <f t="shared" si="29"/>
        <v>18</v>
      </c>
      <c r="F618" t="s">
        <v>3</v>
      </c>
      <c r="G618" t="s">
        <v>240</v>
      </c>
      <c r="H618" s="3">
        <v>27.92</v>
      </c>
      <c r="I618" t="s">
        <v>11</v>
      </c>
    </row>
    <row r="619" spans="1:9" x14ac:dyDescent="0.3">
      <c r="A619" s="1">
        <v>45439</v>
      </c>
      <c r="B619" s="4">
        <f t="shared" si="27"/>
        <v>2024</v>
      </c>
      <c r="C619" s="4">
        <f t="shared" si="28"/>
        <v>5</v>
      </c>
      <c r="D619" s="2">
        <v>45439.803094953706</v>
      </c>
      <c r="E619" s="4">
        <f t="shared" si="29"/>
        <v>19</v>
      </c>
      <c r="F619" t="s">
        <v>3</v>
      </c>
      <c r="G619" t="s">
        <v>241</v>
      </c>
      <c r="H619" s="3">
        <v>37.72</v>
      </c>
      <c r="I619" t="s">
        <v>7</v>
      </c>
    </row>
    <row r="620" spans="1:9" x14ac:dyDescent="0.3">
      <c r="A620" s="1">
        <v>45439</v>
      </c>
      <c r="B620" s="4">
        <f t="shared" si="27"/>
        <v>2024</v>
      </c>
      <c r="C620" s="4">
        <f t="shared" si="28"/>
        <v>5</v>
      </c>
      <c r="D620" s="2">
        <v>45439.803920474536</v>
      </c>
      <c r="E620" s="4">
        <f t="shared" si="29"/>
        <v>19</v>
      </c>
      <c r="F620" t="s">
        <v>3</v>
      </c>
      <c r="G620" t="s">
        <v>242</v>
      </c>
      <c r="H620" s="3">
        <v>37.72</v>
      </c>
      <c r="I620" t="s">
        <v>7</v>
      </c>
    </row>
    <row r="621" spans="1:9" x14ac:dyDescent="0.3">
      <c r="A621" s="1">
        <v>45439</v>
      </c>
      <c r="B621" s="4">
        <f t="shared" si="27"/>
        <v>2024</v>
      </c>
      <c r="C621" s="4">
        <f t="shared" si="28"/>
        <v>5</v>
      </c>
      <c r="D621" s="2">
        <v>45439.895220891201</v>
      </c>
      <c r="E621" s="4">
        <f t="shared" si="29"/>
        <v>21</v>
      </c>
      <c r="F621" t="s">
        <v>3</v>
      </c>
      <c r="G621" t="s">
        <v>206</v>
      </c>
      <c r="H621" s="3">
        <v>32.82</v>
      </c>
      <c r="I621" t="s">
        <v>14</v>
      </c>
    </row>
    <row r="622" spans="1:9" x14ac:dyDescent="0.3">
      <c r="A622" s="1">
        <v>45439</v>
      </c>
      <c r="B622" s="4">
        <f t="shared" si="27"/>
        <v>2024</v>
      </c>
      <c r="C622" s="4">
        <f t="shared" si="28"/>
        <v>5</v>
      </c>
      <c r="D622" s="2">
        <v>45439.896062175925</v>
      </c>
      <c r="E622" s="4">
        <f t="shared" si="29"/>
        <v>21</v>
      </c>
      <c r="F622" t="s">
        <v>3</v>
      </c>
      <c r="G622" t="s">
        <v>220</v>
      </c>
      <c r="H622" s="3">
        <v>37.72</v>
      </c>
      <c r="I622" t="s">
        <v>43</v>
      </c>
    </row>
    <row r="623" spans="1:9" x14ac:dyDescent="0.3">
      <c r="A623" s="1">
        <v>45440</v>
      </c>
      <c r="B623" s="4">
        <f t="shared" si="27"/>
        <v>2024</v>
      </c>
      <c r="C623" s="4">
        <f t="shared" si="28"/>
        <v>5</v>
      </c>
      <c r="D623" s="2">
        <v>45440.359132268517</v>
      </c>
      <c r="E623" s="4">
        <f t="shared" si="29"/>
        <v>8</v>
      </c>
      <c r="F623" t="s">
        <v>3</v>
      </c>
      <c r="G623" t="s">
        <v>23</v>
      </c>
      <c r="H623" s="3">
        <v>32.82</v>
      </c>
      <c r="I623" t="s">
        <v>14</v>
      </c>
    </row>
    <row r="624" spans="1:9" x14ac:dyDescent="0.3">
      <c r="A624" s="1">
        <v>45440</v>
      </c>
      <c r="B624" s="4">
        <f t="shared" si="27"/>
        <v>2024</v>
      </c>
      <c r="C624" s="4">
        <f t="shared" si="28"/>
        <v>5</v>
      </c>
      <c r="D624" s="2">
        <v>45440.389013148146</v>
      </c>
      <c r="E624" s="4">
        <f t="shared" si="29"/>
        <v>9</v>
      </c>
      <c r="F624" t="s">
        <v>3</v>
      </c>
      <c r="G624" t="s">
        <v>111</v>
      </c>
      <c r="H624" s="3">
        <v>32.82</v>
      </c>
      <c r="I624" t="s">
        <v>14</v>
      </c>
    </row>
    <row r="625" spans="1:9" x14ac:dyDescent="0.3">
      <c r="A625" s="1">
        <v>45440</v>
      </c>
      <c r="B625" s="4">
        <f t="shared" si="27"/>
        <v>2024</v>
      </c>
      <c r="C625" s="4">
        <f t="shared" si="28"/>
        <v>5</v>
      </c>
      <c r="D625" s="2">
        <v>45440.491880717593</v>
      </c>
      <c r="E625" s="4">
        <f t="shared" si="29"/>
        <v>11</v>
      </c>
      <c r="F625" t="s">
        <v>3</v>
      </c>
      <c r="G625" t="s">
        <v>243</v>
      </c>
      <c r="H625" s="3">
        <v>37.72</v>
      </c>
      <c r="I625" t="s">
        <v>43</v>
      </c>
    </row>
    <row r="626" spans="1:9" x14ac:dyDescent="0.3">
      <c r="A626" s="1">
        <v>45440</v>
      </c>
      <c r="B626" s="4">
        <f t="shared" si="27"/>
        <v>2024</v>
      </c>
      <c r="C626" s="4">
        <f t="shared" si="28"/>
        <v>5</v>
      </c>
      <c r="D626" s="2">
        <v>45440.551856886574</v>
      </c>
      <c r="E626" s="4">
        <f t="shared" si="29"/>
        <v>13</v>
      </c>
      <c r="F626" t="s">
        <v>3</v>
      </c>
      <c r="G626" t="s">
        <v>244</v>
      </c>
      <c r="H626" s="3">
        <v>37.72</v>
      </c>
      <c r="I626" t="s">
        <v>43</v>
      </c>
    </row>
    <row r="627" spans="1:9" x14ac:dyDescent="0.3">
      <c r="A627" s="1">
        <v>45440</v>
      </c>
      <c r="B627" s="4">
        <f t="shared" si="27"/>
        <v>2024</v>
      </c>
      <c r="C627" s="4">
        <f t="shared" si="28"/>
        <v>5</v>
      </c>
      <c r="D627" s="2">
        <v>45440.590899201386</v>
      </c>
      <c r="E627" s="4">
        <f t="shared" si="29"/>
        <v>14</v>
      </c>
      <c r="F627" t="s">
        <v>3</v>
      </c>
      <c r="G627" t="s">
        <v>208</v>
      </c>
      <c r="H627" s="3">
        <v>37.72</v>
      </c>
      <c r="I627" t="s">
        <v>18</v>
      </c>
    </row>
    <row r="628" spans="1:9" x14ac:dyDescent="0.3">
      <c r="A628" s="1">
        <v>45440</v>
      </c>
      <c r="B628" s="4">
        <f t="shared" si="27"/>
        <v>2024</v>
      </c>
      <c r="C628" s="4">
        <f t="shared" si="28"/>
        <v>5</v>
      </c>
      <c r="D628" s="2">
        <v>45440.684482986115</v>
      </c>
      <c r="E628" s="4">
        <f t="shared" si="29"/>
        <v>16</v>
      </c>
      <c r="F628" t="s">
        <v>3</v>
      </c>
      <c r="G628" t="s">
        <v>155</v>
      </c>
      <c r="H628" s="3">
        <v>27.92</v>
      </c>
      <c r="I628" t="s">
        <v>28</v>
      </c>
    </row>
    <row r="629" spans="1:9" hidden="1" x14ac:dyDescent="0.3">
      <c r="A629" s="1">
        <v>45440</v>
      </c>
      <c r="B629" s="4">
        <f t="shared" si="27"/>
        <v>2024</v>
      </c>
      <c r="C629" s="4">
        <f t="shared" si="28"/>
        <v>5</v>
      </c>
      <c r="D629" s="2">
        <v>45440.723425543983</v>
      </c>
      <c r="E629" s="4">
        <f t="shared" si="29"/>
        <v>17</v>
      </c>
      <c r="F629" t="s">
        <v>21</v>
      </c>
      <c r="H629" s="3">
        <v>39</v>
      </c>
      <c r="I629" t="s">
        <v>43</v>
      </c>
    </row>
    <row r="630" spans="1:9" x14ac:dyDescent="0.3">
      <c r="A630" s="1">
        <v>45440</v>
      </c>
      <c r="B630" s="4">
        <f t="shared" si="27"/>
        <v>2024</v>
      </c>
      <c r="C630" s="4">
        <f t="shared" si="28"/>
        <v>5</v>
      </c>
      <c r="D630" s="2">
        <v>45440.798253113426</v>
      </c>
      <c r="E630" s="4">
        <f t="shared" si="29"/>
        <v>19</v>
      </c>
      <c r="F630" t="s">
        <v>3</v>
      </c>
      <c r="G630" t="s">
        <v>245</v>
      </c>
      <c r="H630" s="3">
        <v>27.92</v>
      </c>
      <c r="I630" t="s">
        <v>11</v>
      </c>
    </row>
    <row r="631" spans="1:9" x14ac:dyDescent="0.3">
      <c r="A631" s="1">
        <v>45440</v>
      </c>
      <c r="B631" s="4">
        <f t="shared" si="27"/>
        <v>2024</v>
      </c>
      <c r="C631" s="4">
        <f t="shared" si="28"/>
        <v>5</v>
      </c>
      <c r="D631" s="2">
        <v>45440.798970717595</v>
      </c>
      <c r="E631" s="4">
        <f t="shared" si="29"/>
        <v>19</v>
      </c>
      <c r="F631" t="s">
        <v>3</v>
      </c>
      <c r="G631" t="s">
        <v>245</v>
      </c>
      <c r="H631" s="3">
        <v>37.72</v>
      </c>
      <c r="I631" t="s">
        <v>7</v>
      </c>
    </row>
    <row r="632" spans="1:9" x14ac:dyDescent="0.3">
      <c r="A632" s="1">
        <v>45440</v>
      </c>
      <c r="B632" s="4">
        <f t="shared" si="27"/>
        <v>2024</v>
      </c>
      <c r="C632" s="4">
        <f t="shared" si="28"/>
        <v>5</v>
      </c>
      <c r="D632" s="2">
        <v>45440.850372743058</v>
      </c>
      <c r="E632" s="4">
        <f t="shared" si="29"/>
        <v>20</v>
      </c>
      <c r="F632" t="s">
        <v>3</v>
      </c>
      <c r="G632" t="s">
        <v>19</v>
      </c>
      <c r="H632" s="3">
        <v>32.82</v>
      </c>
      <c r="I632" t="s">
        <v>14</v>
      </c>
    </row>
    <row r="633" spans="1:9" x14ac:dyDescent="0.3">
      <c r="A633" s="1">
        <v>45440</v>
      </c>
      <c r="B633" s="4">
        <f t="shared" si="27"/>
        <v>2024</v>
      </c>
      <c r="C633" s="4">
        <f t="shared" si="28"/>
        <v>5</v>
      </c>
      <c r="D633" s="2">
        <v>45440.868280659721</v>
      </c>
      <c r="E633" s="4">
        <f t="shared" si="29"/>
        <v>20</v>
      </c>
      <c r="F633" t="s">
        <v>3</v>
      </c>
      <c r="G633" t="s">
        <v>23</v>
      </c>
      <c r="H633" s="3">
        <v>27.92</v>
      </c>
      <c r="I633" t="s">
        <v>11</v>
      </c>
    </row>
    <row r="634" spans="1:9" x14ac:dyDescent="0.3">
      <c r="A634" s="1">
        <v>45441</v>
      </c>
      <c r="B634" s="4">
        <f t="shared" si="27"/>
        <v>2024</v>
      </c>
      <c r="C634" s="4">
        <f t="shared" si="28"/>
        <v>5</v>
      </c>
      <c r="D634" s="2">
        <v>45441.385228055558</v>
      </c>
      <c r="E634" s="4">
        <f t="shared" si="29"/>
        <v>9</v>
      </c>
      <c r="F634" t="s">
        <v>3</v>
      </c>
      <c r="G634" t="s">
        <v>246</v>
      </c>
      <c r="H634" s="3">
        <v>37.72</v>
      </c>
      <c r="I634" t="s">
        <v>7</v>
      </c>
    </row>
    <row r="635" spans="1:9" hidden="1" x14ac:dyDescent="0.3">
      <c r="A635" s="1">
        <v>45441</v>
      </c>
      <c r="B635" s="4">
        <f t="shared" si="27"/>
        <v>2024</v>
      </c>
      <c r="C635" s="4">
        <f t="shared" si="28"/>
        <v>5</v>
      </c>
      <c r="D635" s="2">
        <v>45441.450541446757</v>
      </c>
      <c r="E635" s="4">
        <f t="shared" si="29"/>
        <v>10</v>
      </c>
      <c r="F635" t="s">
        <v>21</v>
      </c>
      <c r="H635" s="3">
        <v>39</v>
      </c>
      <c r="I635" t="s">
        <v>7</v>
      </c>
    </row>
    <row r="636" spans="1:9" x14ac:dyDescent="0.3">
      <c r="A636" s="1">
        <v>45441</v>
      </c>
      <c r="B636" s="4">
        <f t="shared" si="27"/>
        <v>2024</v>
      </c>
      <c r="C636" s="4">
        <f t="shared" si="28"/>
        <v>5</v>
      </c>
      <c r="D636" s="2">
        <v>45441.46808859954</v>
      </c>
      <c r="E636" s="4">
        <f t="shared" si="29"/>
        <v>11</v>
      </c>
      <c r="F636" t="s">
        <v>3</v>
      </c>
      <c r="G636" t="s">
        <v>247</v>
      </c>
      <c r="H636" s="3">
        <v>37.72</v>
      </c>
      <c r="I636" t="s">
        <v>9</v>
      </c>
    </row>
    <row r="637" spans="1:9" x14ac:dyDescent="0.3">
      <c r="A637" s="1">
        <v>45441</v>
      </c>
      <c r="B637" s="4">
        <f t="shared" si="27"/>
        <v>2024</v>
      </c>
      <c r="C637" s="4">
        <f t="shared" si="28"/>
        <v>5</v>
      </c>
      <c r="D637" s="2">
        <v>45441.632506307869</v>
      </c>
      <c r="E637" s="4">
        <f t="shared" si="29"/>
        <v>15</v>
      </c>
      <c r="F637" t="s">
        <v>3</v>
      </c>
      <c r="G637" t="s">
        <v>248</v>
      </c>
      <c r="H637" s="3">
        <v>27.92</v>
      </c>
      <c r="I637" t="s">
        <v>11</v>
      </c>
    </row>
    <row r="638" spans="1:9" x14ac:dyDescent="0.3">
      <c r="A638" s="1">
        <v>45441</v>
      </c>
      <c r="B638" s="4">
        <f t="shared" si="27"/>
        <v>2024</v>
      </c>
      <c r="C638" s="4">
        <f t="shared" si="28"/>
        <v>5</v>
      </c>
      <c r="D638" s="2">
        <v>45441.640929641202</v>
      </c>
      <c r="E638" s="4">
        <f t="shared" si="29"/>
        <v>15</v>
      </c>
      <c r="F638" t="s">
        <v>3</v>
      </c>
      <c r="G638" t="s">
        <v>249</v>
      </c>
      <c r="H638" s="3">
        <v>37.72</v>
      </c>
      <c r="I638" t="s">
        <v>7</v>
      </c>
    </row>
    <row r="639" spans="1:9" x14ac:dyDescent="0.3">
      <c r="A639" s="1">
        <v>45441</v>
      </c>
      <c r="B639" s="4">
        <f t="shared" si="27"/>
        <v>2024</v>
      </c>
      <c r="C639" s="4">
        <f t="shared" si="28"/>
        <v>5</v>
      </c>
      <c r="D639" s="2">
        <v>45441.656397430554</v>
      </c>
      <c r="E639" s="4">
        <f t="shared" si="29"/>
        <v>15</v>
      </c>
      <c r="F639" t="s">
        <v>3</v>
      </c>
      <c r="G639" t="s">
        <v>250</v>
      </c>
      <c r="H639" s="3">
        <v>37.72</v>
      </c>
      <c r="I639" t="s">
        <v>43</v>
      </c>
    </row>
    <row r="640" spans="1:9" x14ac:dyDescent="0.3">
      <c r="A640" s="1">
        <v>45441</v>
      </c>
      <c r="B640" s="4">
        <f t="shared" si="27"/>
        <v>2024</v>
      </c>
      <c r="C640" s="4">
        <f t="shared" si="28"/>
        <v>5</v>
      </c>
      <c r="D640" s="2">
        <v>45441.697962384256</v>
      </c>
      <c r="E640" s="4">
        <f t="shared" si="29"/>
        <v>16</v>
      </c>
      <c r="F640" t="s">
        <v>3</v>
      </c>
      <c r="G640" t="s">
        <v>251</v>
      </c>
      <c r="H640" s="3">
        <v>37.72</v>
      </c>
      <c r="I640" t="s">
        <v>7</v>
      </c>
    </row>
    <row r="641" spans="1:9" x14ac:dyDescent="0.3">
      <c r="A641" s="1">
        <v>45441</v>
      </c>
      <c r="B641" s="4">
        <f t="shared" ref="B641:B704" si="30">YEAR(A641)</f>
        <v>2024</v>
      </c>
      <c r="C641" s="4">
        <f t="shared" ref="C641:C704" si="31">MONTH(A641)</f>
        <v>5</v>
      </c>
      <c r="D641" s="2">
        <v>45441.766705254631</v>
      </c>
      <c r="E641" s="4">
        <f t="shared" ref="E641:E704" si="32">HOUR(D641)</f>
        <v>18</v>
      </c>
      <c r="F641" t="s">
        <v>3</v>
      </c>
      <c r="G641" t="s">
        <v>252</v>
      </c>
      <c r="H641" s="3">
        <v>27.92</v>
      </c>
      <c r="I641" t="s">
        <v>28</v>
      </c>
    </row>
    <row r="642" spans="1:9" x14ac:dyDescent="0.3">
      <c r="A642" s="1">
        <v>45441</v>
      </c>
      <c r="B642" s="4">
        <f t="shared" si="30"/>
        <v>2024</v>
      </c>
      <c r="C642" s="4">
        <f t="shared" si="31"/>
        <v>5</v>
      </c>
      <c r="D642" s="2">
        <v>45441.767353136573</v>
      </c>
      <c r="E642" s="4">
        <f t="shared" si="32"/>
        <v>18</v>
      </c>
      <c r="F642" t="s">
        <v>3</v>
      </c>
      <c r="G642" t="s">
        <v>252</v>
      </c>
      <c r="H642" s="3">
        <v>37.72</v>
      </c>
      <c r="I642" t="s">
        <v>7</v>
      </c>
    </row>
    <row r="643" spans="1:9" x14ac:dyDescent="0.3">
      <c r="A643" s="1">
        <v>45441</v>
      </c>
      <c r="B643" s="4">
        <f t="shared" si="30"/>
        <v>2024</v>
      </c>
      <c r="C643" s="4">
        <f t="shared" si="31"/>
        <v>5</v>
      </c>
      <c r="D643" s="2">
        <v>45441.854655555559</v>
      </c>
      <c r="E643" s="4">
        <f t="shared" si="32"/>
        <v>20</v>
      </c>
      <c r="F643" t="s">
        <v>3</v>
      </c>
      <c r="G643" t="s">
        <v>253</v>
      </c>
      <c r="H643" s="3">
        <v>37.72</v>
      </c>
      <c r="I643" t="s">
        <v>9</v>
      </c>
    </row>
    <row r="644" spans="1:9" x14ac:dyDescent="0.3">
      <c r="A644" s="1">
        <v>45441</v>
      </c>
      <c r="B644" s="4">
        <f t="shared" si="30"/>
        <v>2024</v>
      </c>
      <c r="C644" s="4">
        <f t="shared" si="31"/>
        <v>5</v>
      </c>
      <c r="D644" s="2">
        <v>45441.85596296296</v>
      </c>
      <c r="E644" s="4">
        <f t="shared" si="32"/>
        <v>20</v>
      </c>
      <c r="F644" t="s">
        <v>3</v>
      </c>
      <c r="G644" t="s">
        <v>254</v>
      </c>
      <c r="H644" s="3">
        <v>37.72</v>
      </c>
      <c r="I644" t="s">
        <v>18</v>
      </c>
    </row>
    <row r="645" spans="1:9" x14ac:dyDescent="0.3">
      <c r="A645" s="1">
        <v>45442</v>
      </c>
      <c r="B645" s="4">
        <f t="shared" si="30"/>
        <v>2024</v>
      </c>
      <c r="C645" s="4">
        <f t="shared" si="31"/>
        <v>5</v>
      </c>
      <c r="D645" s="2">
        <v>45442.353544872683</v>
      </c>
      <c r="E645" s="4">
        <f t="shared" si="32"/>
        <v>8</v>
      </c>
      <c r="F645" t="s">
        <v>3</v>
      </c>
      <c r="G645" t="s">
        <v>255</v>
      </c>
      <c r="H645" s="3">
        <v>37.72</v>
      </c>
      <c r="I645" t="s">
        <v>43</v>
      </c>
    </row>
    <row r="646" spans="1:9" x14ac:dyDescent="0.3">
      <c r="A646" s="1">
        <v>45442</v>
      </c>
      <c r="B646" s="4">
        <f t="shared" si="30"/>
        <v>2024</v>
      </c>
      <c r="C646" s="4">
        <f t="shared" si="31"/>
        <v>5</v>
      </c>
      <c r="D646" s="2">
        <v>45442.354416504633</v>
      </c>
      <c r="E646" s="4">
        <f t="shared" si="32"/>
        <v>8</v>
      </c>
      <c r="F646" t="s">
        <v>3</v>
      </c>
      <c r="G646" t="s">
        <v>255</v>
      </c>
      <c r="H646" s="3">
        <v>37.72</v>
      </c>
      <c r="I646" t="s">
        <v>7</v>
      </c>
    </row>
    <row r="647" spans="1:9" x14ac:dyDescent="0.3">
      <c r="A647" s="1">
        <v>45442</v>
      </c>
      <c r="B647" s="4">
        <f t="shared" si="30"/>
        <v>2024</v>
      </c>
      <c r="C647" s="4">
        <f t="shared" si="31"/>
        <v>5</v>
      </c>
      <c r="D647" s="2">
        <v>45442.359090069447</v>
      </c>
      <c r="E647" s="4">
        <f t="shared" si="32"/>
        <v>8</v>
      </c>
      <c r="F647" t="s">
        <v>3</v>
      </c>
      <c r="G647" t="s">
        <v>256</v>
      </c>
      <c r="H647" s="3">
        <v>32.82</v>
      </c>
      <c r="I647" t="s">
        <v>14</v>
      </c>
    </row>
    <row r="648" spans="1:9" x14ac:dyDescent="0.3">
      <c r="A648" s="1">
        <v>45442</v>
      </c>
      <c r="B648" s="4">
        <f t="shared" si="30"/>
        <v>2024</v>
      </c>
      <c r="C648" s="4">
        <f t="shared" si="31"/>
        <v>5</v>
      </c>
      <c r="D648" s="2">
        <v>45442.408322824071</v>
      </c>
      <c r="E648" s="4">
        <f t="shared" si="32"/>
        <v>9</v>
      </c>
      <c r="F648" t="s">
        <v>3</v>
      </c>
      <c r="G648" t="s">
        <v>6</v>
      </c>
      <c r="H648" s="3">
        <v>37.72</v>
      </c>
      <c r="I648" t="s">
        <v>7</v>
      </c>
    </row>
    <row r="649" spans="1:9" x14ac:dyDescent="0.3">
      <c r="A649" s="1">
        <v>45442</v>
      </c>
      <c r="B649" s="4">
        <f t="shared" si="30"/>
        <v>2024</v>
      </c>
      <c r="C649" s="4">
        <f t="shared" si="31"/>
        <v>5</v>
      </c>
      <c r="D649" s="2">
        <v>45442.622401307868</v>
      </c>
      <c r="E649" s="4">
        <f t="shared" si="32"/>
        <v>14</v>
      </c>
      <c r="F649" t="s">
        <v>3</v>
      </c>
      <c r="G649" t="s">
        <v>111</v>
      </c>
      <c r="H649" s="3">
        <v>32.82</v>
      </c>
      <c r="I649" t="s">
        <v>14</v>
      </c>
    </row>
    <row r="650" spans="1:9" x14ac:dyDescent="0.3">
      <c r="A650" s="1">
        <v>45442</v>
      </c>
      <c r="B650" s="4">
        <f t="shared" si="30"/>
        <v>2024</v>
      </c>
      <c r="C650" s="4">
        <f t="shared" si="31"/>
        <v>5</v>
      </c>
      <c r="D650" s="2">
        <v>45442.636292418982</v>
      </c>
      <c r="E650" s="4">
        <f t="shared" si="32"/>
        <v>15</v>
      </c>
      <c r="F650" t="s">
        <v>3</v>
      </c>
      <c r="G650" t="s">
        <v>257</v>
      </c>
      <c r="H650" s="3">
        <v>23.02</v>
      </c>
      <c r="I650" t="s">
        <v>35</v>
      </c>
    </row>
    <row r="651" spans="1:9" x14ac:dyDescent="0.3">
      <c r="A651" s="1">
        <v>45442</v>
      </c>
      <c r="B651" s="4">
        <f t="shared" si="30"/>
        <v>2024</v>
      </c>
      <c r="C651" s="4">
        <f t="shared" si="31"/>
        <v>5</v>
      </c>
      <c r="D651" s="2">
        <v>45442.637252962966</v>
      </c>
      <c r="E651" s="4">
        <f t="shared" si="32"/>
        <v>15</v>
      </c>
      <c r="F651" t="s">
        <v>3</v>
      </c>
      <c r="G651" t="s">
        <v>23</v>
      </c>
      <c r="H651" s="3">
        <v>23.02</v>
      </c>
      <c r="I651" t="s">
        <v>35</v>
      </c>
    </row>
    <row r="652" spans="1:9" x14ac:dyDescent="0.3">
      <c r="A652" s="1">
        <v>45442</v>
      </c>
      <c r="B652" s="4">
        <f t="shared" si="30"/>
        <v>2024</v>
      </c>
      <c r="C652" s="4">
        <f t="shared" si="31"/>
        <v>5</v>
      </c>
      <c r="D652" s="2">
        <v>45442.828601724534</v>
      </c>
      <c r="E652" s="4">
        <f t="shared" si="32"/>
        <v>19</v>
      </c>
      <c r="F652" t="s">
        <v>3</v>
      </c>
      <c r="G652" t="s">
        <v>220</v>
      </c>
      <c r="H652" s="3">
        <v>37.72</v>
      </c>
      <c r="I652" t="s">
        <v>43</v>
      </c>
    </row>
    <row r="653" spans="1:9" x14ac:dyDescent="0.3">
      <c r="A653" s="1">
        <v>45442</v>
      </c>
      <c r="B653" s="4">
        <f t="shared" si="30"/>
        <v>2024</v>
      </c>
      <c r="C653" s="4">
        <f t="shared" si="31"/>
        <v>5</v>
      </c>
      <c r="D653" s="2">
        <v>45442.85492395833</v>
      </c>
      <c r="E653" s="4">
        <f t="shared" si="32"/>
        <v>20</v>
      </c>
      <c r="F653" t="s">
        <v>3</v>
      </c>
      <c r="G653" t="s">
        <v>258</v>
      </c>
      <c r="H653" s="3">
        <v>37.72</v>
      </c>
      <c r="I653" t="s">
        <v>7</v>
      </c>
    </row>
    <row r="654" spans="1:9" x14ac:dyDescent="0.3">
      <c r="A654" s="1">
        <v>45442</v>
      </c>
      <c r="B654" s="4">
        <f t="shared" si="30"/>
        <v>2024</v>
      </c>
      <c r="C654" s="4">
        <f t="shared" si="31"/>
        <v>5</v>
      </c>
      <c r="D654" s="2">
        <v>45442.865437905093</v>
      </c>
      <c r="E654" s="4">
        <f t="shared" si="32"/>
        <v>20</v>
      </c>
      <c r="F654" t="s">
        <v>3</v>
      </c>
      <c r="G654" t="s">
        <v>19</v>
      </c>
      <c r="H654" s="3">
        <v>37.72</v>
      </c>
      <c r="I654" t="s">
        <v>9</v>
      </c>
    </row>
    <row r="655" spans="1:9" x14ac:dyDescent="0.3">
      <c r="A655" s="1">
        <v>45442</v>
      </c>
      <c r="B655" s="4">
        <f t="shared" si="30"/>
        <v>2024</v>
      </c>
      <c r="C655" s="4">
        <f t="shared" si="31"/>
        <v>5</v>
      </c>
      <c r="D655" s="2">
        <v>45442.866222060184</v>
      </c>
      <c r="E655" s="4">
        <f t="shared" si="32"/>
        <v>20</v>
      </c>
      <c r="F655" t="s">
        <v>3</v>
      </c>
      <c r="G655" t="s">
        <v>19</v>
      </c>
      <c r="H655" s="3">
        <v>32.82</v>
      </c>
      <c r="I655" t="s">
        <v>14</v>
      </c>
    </row>
    <row r="656" spans="1:9" x14ac:dyDescent="0.3">
      <c r="A656" s="1">
        <v>45443</v>
      </c>
      <c r="B656" s="4">
        <f t="shared" si="30"/>
        <v>2024</v>
      </c>
      <c r="C656" s="4">
        <f t="shared" si="31"/>
        <v>5</v>
      </c>
      <c r="D656" s="2">
        <v>45443.329135115739</v>
      </c>
      <c r="E656" s="4">
        <f t="shared" si="32"/>
        <v>7</v>
      </c>
      <c r="F656" t="s">
        <v>3</v>
      </c>
      <c r="G656" t="s">
        <v>259</v>
      </c>
      <c r="H656" s="3">
        <v>32.82</v>
      </c>
      <c r="I656" t="s">
        <v>14</v>
      </c>
    </row>
    <row r="657" spans="1:9" x14ac:dyDescent="0.3">
      <c r="A657" s="1">
        <v>45443</v>
      </c>
      <c r="B657" s="4">
        <f t="shared" si="30"/>
        <v>2024</v>
      </c>
      <c r="C657" s="4">
        <f t="shared" si="31"/>
        <v>5</v>
      </c>
      <c r="D657" s="2">
        <v>45443.389673854166</v>
      </c>
      <c r="E657" s="4">
        <f t="shared" si="32"/>
        <v>9</v>
      </c>
      <c r="F657" t="s">
        <v>3</v>
      </c>
      <c r="G657" t="s">
        <v>260</v>
      </c>
      <c r="H657" s="3">
        <v>37.72</v>
      </c>
      <c r="I657" t="s">
        <v>7</v>
      </c>
    </row>
    <row r="658" spans="1:9" hidden="1" x14ac:dyDescent="0.3">
      <c r="A658" s="1">
        <v>45443</v>
      </c>
      <c r="B658" s="4">
        <f t="shared" si="30"/>
        <v>2024</v>
      </c>
      <c r="C658" s="4">
        <f t="shared" si="31"/>
        <v>5</v>
      </c>
      <c r="D658" s="2">
        <v>45443.391652673614</v>
      </c>
      <c r="E658" s="4">
        <f t="shared" si="32"/>
        <v>9</v>
      </c>
      <c r="F658" t="s">
        <v>21</v>
      </c>
      <c r="H658" s="3">
        <v>39</v>
      </c>
      <c r="I658" t="s">
        <v>7</v>
      </c>
    </row>
    <row r="659" spans="1:9" x14ac:dyDescent="0.3">
      <c r="A659" s="1">
        <v>45443</v>
      </c>
      <c r="B659" s="4">
        <f t="shared" si="30"/>
        <v>2024</v>
      </c>
      <c r="C659" s="4">
        <f t="shared" si="31"/>
        <v>5</v>
      </c>
      <c r="D659" s="2">
        <v>45443.44314653935</v>
      </c>
      <c r="E659" s="4">
        <f t="shared" si="32"/>
        <v>10</v>
      </c>
      <c r="F659" t="s">
        <v>3</v>
      </c>
      <c r="G659" t="s">
        <v>261</v>
      </c>
      <c r="H659" s="3">
        <v>37.72</v>
      </c>
      <c r="I659" t="s">
        <v>9</v>
      </c>
    </row>
    <row r="660" spans="1:9" x14ac:dyDescent="0.3">
      <c r="A660" s="1">
        <v>45443</v>
      </c>
      <c r="B660" s="4">
        <f t="shared" si="30"/>
        <v>2024</v>
      </c>
      <c r="C660" s="4">
        <f t="shared" si="31"/>
        <v>5</v>
      </c>
      <c r="D660" s="2">
        <v>45443.443821018518</v>
      </c>
      <c r="E660" s="4">
        <f t="shared" si="32"/>
        <v>10</v>
      </c>
      <c r="F660" t="s">
        <v>3</v>
      </c>
      <c r="G660" t="s">
        <v>262</v>
      </c>
      <c r="H660" s="3">
        <v>37.72</v>
      </c>
      <c r="I660" t="s">
        <v>18</v>
      </c>
    </row>
    <row r="661" spans="1:9" x14ac:dyDescent="0.3">
      <c r="A661" s="1">
        <v>45443</v>
      </c>
      <c r="B661" s="4">
        <f t="shared" si="30"/>
        <v>2024</v>
      </c>
      <c r="C661" s="4">
        <f t="shared" si="31"/>
        <v>5</v>
      </c>
      <c r="D661" s="2">
        <v>45443.618205740742</v>
      </c>
      <c r="E661" s="4">
        <f t="shared" si="32"/>
        <v>14</v>
      </c>
      <c r="F661" t="s">
        <v>3</v>
      </c>
      <c r="G661" t="s">
        <v>263</v>
      </c>
      <c r="H661" s="3">
        <v>32.82</v>
      </c>
      <c r="I661" t="s">
        <v>14</v>
      </c>
    </row>
    <row r="662" spans="1:9" x14ac:dyDescent="0.3">
      <c r="A662" s="1">
        <v>45443</v>
      </c>
      <c r="B662" s="4">
        <f t="shared" si="30"/>
        <v>2024</v>
      </c>
      <c r="C662" s="4">
        <f t="shared" si="31"/>
        <v>5</v>
      </c>
      <c r="D662" s="2">
        <v>45443.766488842593</v>
      </c>
      <c r="E662" s="4">
        <f t="shared" si="32"/>
        <v>18</v>
      </c>
      <c r="F662" t="s">
        <v>3</v>
      </c>
      <c r="G662" t="s">
        <v>264</v>
      </c>
      <c r="H662" s="3">
        <v>37.72</v>
      </c>
      <c r="I662" t="s">
        <v>7</v>
      </c>
    </row>
    <row r="663" spans="1:9" x14ac:dyDescent="0.3">
      <c r="A663" s="1">
        <v>45443</v>
      </c>
      <c r="B663" s="4">
        <f t="shared" si="30"/>
        <v>2024</v>
      </c>
      <c r="C663" s="4">
        <f t="shared" si="31"/>
        <v>5</v>
      </c>
      <c r="D663" s="2">
        <v>45443.767398969911</v>
      </c>
      <c r="E663" s="4">
        <f t="shared" si="32"/>
        <v>18</v>
      </c>
      <c r="F663" t="s">
        <v>3</v>
      </c>
      <c r="G663" t="s">
        <v>264</v>
      </c>
      <c r="H663" s="3">
        <v>37.72</v>
      </c>
      <c r="I663" t="s">
        <v>7</v>
      </c>
    </row>
    <row r="664" spans="1:9" x14ac:dyDescent="0.3">
      <c r="A664" s="1">
        <v>45443</v>
      </c>
      <c r="B664" s="4">
        <f t="shared" si="30"/>
        <v>2024</v>
      </c>
      <c r="C664" s="4">
        <f t="shared" si="31"/>
        <v>5</v>
      </c>
      <c r="D664" s="2">
        <v>45443.837953310183</v>
      </c>
      <c r="E664" s="4">
        <f t="shared" si="32"/>
        <v>20</v>
      </c>
      <c r="F664" t="s">
        <v>3</v>
      </c>
      <c r="G664" t="s">
        <v>194</v>
      </c>
      <c r="H664" s="3">
        <v>37.72</v>
      </c>
      <c r="I664" t="s">
        <v>43</v>
      </c>
    </row>
    <row r="665" spans="1:9" x14ac:dyDescent="0.3">
      <c r="A665" s="1">
        <v>45443</v>
      </c>
      <c r="B665" s="4">
        <f t="shared" si="30"/>
        <v>2024</v>
      </c>
      <c r="C665" s="4">
        <f t="shared" si="31"/>
        <v>5</v>
      </c>
      <c r="D665" s="2">
        <v>45443.856324108798</v>
      </c>
      <c r="E665" s="4">
        <f t="shared" si="32"/>
        <v>20</v>
      </c>
      <c r="F665" t="s">
        <v>3</v>
      </c>
      <c r="G665" t="s">
        <v>148</v>
      </c>
      <c r="H665" s="3">
        <v>32.82</v>
      </c>
      <c r="I665" t="s">
        <v>14</v>
      </c>
    </row>
    <row r="666" spans="1:9" x14ac:dyDescent="0.3">
      <c r="A666" s="1">
        <v>45443</v>
      </c>
      <c r="B666" s="4">
        <f t="shared" si="30"/>
        <v>2024</v>
      </c>
      <c r="C666" s="4">
        <f t="shared" si="31"/>
        <v>5</v>
      </c>
      <c r="D666" s="2">
        <v>45443.857325266203</v>
      </c>
      <c r="E666" s="4">
        <f t="shared" si="32"/>
        <v>20</v>
      </c>
      <c r="F666" t="s">
        <v>3</v>
      </c>
      <c r="G666" t="s">
        <v>148</v>
      </c>
      <c r="H666" s="3">
        <v>37.72</v>
      </c>
      <c r="I666" t="s">
        <v>7</v>
      </c>
    </row>
    <row r="667" spans="1:9" x14ac:dyDescent="0.3">
      <c r="A667" s="1">
        <v>45443</v>
      </c>
      <c r="B667" s="4">
        <f t="shared" si="30"/>
        <v>2024</v>
      </c>
      <c r="C667" s="4">
        <f t="shared" si="31"/>
        <v>5</v>
      </c>
      <c r="D667" s="2">
        <v>45443.920683680553</v>
      </c>
      <c r="E667" s="4">
        <f t="shared" si="32"/>
        <v>22</v>
      </c>
      <c r="F667" t="s">
        <v>3</v>
      </c>
      <c r="G667" t="s">
        <v>220</v>
      </c>
      <c r="H667" s="3">
        <v>37.72</v>
      </c>
      <c r="I667" t="s">
        <v>43</v>
      </c>
    </row>
    <row r="668" spans="1:9" x14ac:dyDescent="0.3">
      <c r="A668" s="1">
        <v>45443</v>
      </c>
      <c r="B668" s="4">
        <f t="shared" si="30"/>
        <v>2024</v>
      </c>
      <c r="C668" s="4">
        <f t="shared" si="31"/>
        <v>5</v>
      </c>
      <c r="D668" s="2">
        <v>45443.92144085648</v>
      </c>
      <c r="E668" s="4">
        <f t="shared" si="32"/>
        <v>22</v>
      </c>
      <c r="F668" t="s">
        <v>3</v>
      </c>
      <c r="G668" t="s">
        <v>220</v>
      </c>
      <c r="H668" s="3">
        <v>32.82</v>
      </c>
      <c r="I668" t="s">
        <v>14</v>
      </c>
    </row>
    <row r="669" spans="1:9" x14ac:dyDescent="0.3">
      <c r="A669" s="1">
        <v>45443</v>
      </c>
      <c r="B669" s="4">
        <f t="shared" si="30"/>
        <v>2024</v>
      </c>
      <c r="C669" s="4">
        <f t="shared" si="31"/>
        <v>5</v>
      </c>
      <c r="D669" s="2">
        <v>45443.922168611112</v>
      </c>
      <c r="E669" s="4">
        <f t="shared" si="32"/>
        <v>22</v>
      </c>
      <c r="F669" t="s">
        <v>3</v>
      </c>
      <c r="G669" t="s">
        <v>220</v>
      </c>
      <c r="H669" s="3">
        <v>27.92</v>
      </c>
      <c r="I669" t="s">
        <v>28</v>
      </c>
    </row>
    <row r="670" spans="1:9" x14ac:dyDescent="0.3">
      <c r="A670" s="1">
        <v>45444</v>
      </c>
      <c r="B670" s="4">
        <f t="shared" si="30"/>
        <v>2024</v>
      </c>
      <c r="C670" s="4">
        <f t="shared" si="31"/>
        <v>6</v>
      </c>
      <c r="D670" s="2">
        <v>45444.352103530095</v>
      </c>
      <c r="E670" s="4">
        <f t="shared" si="32"/>
        <v>8</v>
      </c>
      <c r="F670" t="s">
        <v>3</v>
      </c>
      <c r="G670" t="s">
        <v>155</v>
      </c>
      <c r="H670" s="3">
        <v>27.92</v>
      </c>
      <c r="I670" t="s">
        <v>28</v>
      </c>
    </row>
    <row r="671" spans="1:9" x14ac:dyDescent="0.3">
      <c r="A671" s="1">
        <v>45444</v>
      </c>
      <c r="B671" s="4">
        <f t="shared" si="30"/>
        <v>2024</v>
      </c>
      <c r="C671" s="4">
        <f t="shared" si="31"/>
        <v>6</v>
      </c>
      <c r="D671" s="2">
        <v>45444.408619791669</v>
      </c>
      <c r="E671" s="4">
        <f t="shared" si="32"/>
        <v>9</v>
      </c>
      <c r="F671" t="s">
        <v>3</v>
      </c>
      <c r="G671" t="s">
        <v>246</v>
      </c>
      <c r="H671" s="3">
        <v>37.72</v>
      </c>
      <c r="I671" t="s">
        <v>7</v>
      </c>
    </row>
    <row r="672" spans="1:9" x14ac:dyDescent="0.3">
      <c r="A672" s="1">
        <v>45444</v>
      </c>
      <c r="B672" s="4">
        <f t="shared" si="30"/>
        <v>2024</v>
      </c>
      <c r="C672" s="4">
        <f t="shared" si="31"/>
        <v>6</v>
      </c>
      <c r="D672" s="2">
        <v>45444.484830682872</v>
      </c>
      <c r="E672" s="4">
        <f t="shared" si="32"/>
        <v>11</v>
      </c>
      <c r="F672" t="s">
        <v>3</v>
      </c>
      <c r="G672" t="s">
        <v>264</v>
      </c>
      <c r="H672" s="3">
        <v>37.72</v>
      </c>
      <c r="I672" t="s">
        <v>7</v>
      </c>
    </row>
    <row r="673" spans="1:9" x14ac:dyDescent="0.3">
      <c r="A673" s="1">
        <v>45444</v>
      </c>
      <c r="B673" s="4">
        <f t="shared" si="30"/>
        <v>2024</v>
      </c>
      <c r="C673" s="4">
        <f t="shared" si="31"/>
        <v>6</v>
      </c>
      <c r="D673" s="2">
        <v>45444.603399756947</v>
      </c>
      <c r="E673" s="4">
        <f t="shared" si="32"/>
        <v>14</v>
      </c>
      <c r="F673" t="s">
        <v>3</v>
      </c>
      <c r="G673" t="s">
        <v>111</v>
      </c>
      <c r="H673" s="3">
        <v>32.82</v>
      </c>
      <c r="I673" t="s">
        <v>14</v>
      </c>
    </row>
    <row r="674" spans="1:9" x14ac:dyDescent="0.3">
      <c r="A674" s="1">
        <v>45444</v>
      </c>
      <c r="B674" s="4">
        <f t="shared" si="30"/>
        <v>2024</v>
      </c>
      <c r="C674" s="4">
        <f t="shared" si="31"/>
        <v>6</v>
      </c>
      <c r="D674" s="2">
        <v>45444.764036805558</v>
      </c>
      <c r="E674" s="4">
        <f t="shared" si="32"/>
        <v>18</v>
      </c>
      <c r="F674" t="s">
        <v>3</v>
      </c>
      <c r="G674" t="s">
        <v>265</v>
      </c>
      <c r="H674" s="3">
        <v>32.82</v>
      </c>
      <c r="I674" t="s">
        <v>14</v>
      </c>
    </row>
    <row r="675" spans="1:9" x14ac:dyDescent="0.3">
      <c r="A675" s="1">
        <v>45444</v>
      </c>
      <c r="B675" s="4">
        <f t="shared" si="30"/>
        <v>2024</v>
      </c>
      <c r="C675" s="4">
        <f t="shared" si="31"/>
        <v>6</v>
      </c>
      <c r="D675" s="2">
        <v>45444.764761145831</v>
      </c>
      <c r="E675" s="4">
        <f t="shared" si="32"/>
        <v>18</v>
      </c>
      <c r="F675" t="s">
        <v>3</v>
      </c>
      <c r="G675" t="s">
        <v>265</v>
      </c>
      <c r="H675" s="3">
        <v>32.82</v>
      </c>
      <c r="I675" t="s">
        <v>14</v>
      </c>
    </row>
    <row r="676" spans="1:9" x14ac:dyDescent="0.3">
      <c r="A676" s="1">
        <v>45444</v>
      </c>
      <c r="B676" s="4">
        <f t="shared" si="30"/>
        <v>2024</v>
      </c>
      <c r="C676" s="4">
        <f t="shared" si="31"/>
        <v>6</v>
      </c>
      <c r="D676" s="2">
        <v>45444.868176944445</v>
      </c>
      <c r="E676" s="4">
        <f t="shared" si="32"/>
        <v>20</v>
      </c>
      <c r="F676" t="s">
        <v>3</v>
      </c>
      <c r="G676" t="s">
        <v>168</v>
      </c>
      <c r="H676" s="3">
        <v>37.72</v>
      </c>
      <c r="I676" t="s">
        <v>43</v>
      </c>
    </row>
    <row r="677" spans="1:9" x14ac:dyDescent="0.3">
      <c r="A677" s="1">
        <v>45444</v>
      </c>
      <c r="B677" s="4">
        <f t="shared" si="30"/>
        <v>2024</v>
      </c>
      <c r="C677" s="4">
        <f t="shared" si="31"/>
        <v>6</v>
      </c>
      <c r="D677" s="2">
        <v>45444.868907002317</v>
      </c>
      <c r="E677" s="4">
        <f t="shared" si="32"/>
        <v>20</v>
      </c>
      <c r="F677" t="s">
        <v>3</v>
      </c>
      <c r="G677" t="s">
        <v>168</v>
      </c>
      <c r="H677" s="3">
        <v>37.72</v>
      </c>
      <c r="I677" t="s">
        <v>43</v>
      </c>
    </row>
    <row r="678" spans="1:9" hidden="1" x14ac:dyDescent="0.3">
      <c r="A678" s="1">
        <v>45444</v>
      </c>
      <c r="B678" s="4">
        <f t="shared" si="30"/>
        <v>2024</v>
      </c>
      <c r="C678" s="4">
        <f t="shared" si="31"/>
        <v>6</v>
      </c>
      <c r="D678" s="2">
        <v>45444.871519293978</v>
      </c>
      <c r="E678" s="4">
        <f t="shared" si="32"/>
        <v>20</v>
      </c>
      <c r="F678" t="s">
        <v>21</v>
      </c>
      <c r="H678" s="3">
        <v>39</v>
      </c>
      <c r="I678" t="s">
        <v>18</v>
      </c>
    </row>
    <row r="679" spans="1:9" x14ac:dyDescent="0.3">
      <c r="A679" s="1">
        <v>45444</v>
      </c>
      <c r="B679" s="4">
        <f t="shared" si="30"/>
        <v>2024</v>
      </c>
      <c r="C679" s="4">
        <f t="shared" si="31"/>
        <v>6</v>
      </c>
      <c r="D679" s="2">
        <v>45444.874417696759</v>
      </c>
      <c r="E679" s="4">
        <f t="shared" si="32"/>
        <v>20</v>
      </c>
      <c r="F679" t="s">
        <v>3</v>
      </c>
      <c r="G679" t="s">
        <v>266</v>
      </c>
      <c r="H679" s="3">
        <v>37.72</v>
      </c>
      <c r="I679" t="s">
        <v>18</v>
      </c>
    </row>
    <row r="680" spans="1:9" x14ac:dyDescent="0.3">
      <c r="A680" s="1">
        <v>45444</v>
      </c>
      <c r="B680" s="4">
        <f t="shared" si="30"/>
        <v>2024</v>
      </c>
      <c r="C680" s="4">
        <f t="shared" si="31"/>
        <v>6</v>
      </c>
      <c r="D680" s="2">
        <v>45444.910474201388</v>
      </c>
      <c r="E680" s="4">
        <f t="shared" si="32"/>
        <v>21</v>
      </c>
      <c r="F680" t="s">
        <v>3</v>
      </c>
      <c r="G680" t="s">
        <v>19</v>
      </c>
      <c r="H680" s="3">
        <v>32.82</v>
      </c>
      <c r="I680" t="s">
        <v>14</v>
      </c>
    </row>
    <row r="681" spans="1:9" x14ac:dyDescent="0.3">
      <c r="A681" s="1">
        <v>45445</v>
      </c>
      <c r="B681" s="4">
        <f t="shared" si="30"/>
        <v>2024</v>
      </c>
      <c r="C681" s="4">
        <f t="shared" si="31"/>
        <v>6</v>
      </c>
      <c r="D681" s="2">
        <v>45445.835715266207</v>
      </c>
      <c r="E681" s="4">
        <f t="shared" si="32"/>
        <v>20</v>
      </c>
      <c r="F681" t="s">
        <v>3</v>
      </c>
      <c r="G681" t="s">
        <v>19</v>
      </c>
      <c r="H681" s="3">
        <v>37.72</v>
      </c>
      <c r="I681" t="s">
        <v>7</v>
      </c>
    </row>
    <row r="682" spans="1:9" x14ac:dyDescent="0.3">
      <c r="A682" s="1">
        <v>45445</v>
      </c>
      <c r="B682" s="4">
        <f t="shared" si="30"/>
        <v>2024</v>
      </c>
      <c r="C682" s="4">
        <f t="shared" si="31"/>
        <v>6</v>
      </c>
      <c r="D682" s="2">
        <v>45445.85002834491</v>
      </c>
      <c r="E682" s="4">
        <f t="shared" si="32"/>
        <v>20</v>
      </c>
      <c r="F682" t="s">
        <v>3</v>
      </c>
      <c r="G682" t="s">
        <v>54</v>
      </c>
      <c r="H682" s="3">
        <v>32.82</v>
      </c>
      <c r="I682" t="s">
        <v>14</v>
      </c>
    </row>
    <row r="683" spans="1:9" x14ac:dyDescent="0.3">
      <c r="A683" s="1">
        <v>45445</v>
      </c>
      <c r="B683" s="4">
        <f t="shared" si="30"/>
        <v>2024</v>
      </c>
      <c r="C683" s="4">
        <f t="shared" si="31"/>
        <v>6</v>
      </c>
      <c r="D683" s="2">
        <v>45445.850778217595</v>
      </c>
      <c r="E683" s="4">
        <f t="shared" si="32"/>
        <v>20</v>
      </c>
      <c r="F683" t="s">
        <v>3</v>
      </c>
      <c r="G683" t="s">
        <v>54</v>
      </c>
      <c r="H683" s="3">
        <v>37.72</v>
      </c>
      <c r="I683" t="s">
        <v>43</v>
      </c>
    </row>
    <row r="684" spans="1:9" x14ac:dyDescent="0.3">
      <c r="A684" s="1">
        <v>45445</v>
      </c>
      <c r="B684" s="4">
        <f t="shared" si="30"/>
        <v>2024</v>
      </c>
      <c r="C684" s="4">
        <f t="shared" si="31"/>
        <v>6</v>
      </c>
      <c r="D684" s="2">
        <v>45445.880098738424</v>
      </c>
      <c r="E684" s="4">
        <f t="shared" si="32"/>
        <v>21</v>
      </c>
      <c r="F684" t="s">
        <v>3</v>
      </c>
      <c r="G684" t="s">
        <v>111</v>
      </c>
      <c r="H684" s="3">
        <v>32.82</v>
      </c>
      <c r="I684" t="s">
        <v>14</v>
      </c>
    </row>
    <row r="685" spans="1:9" x14ac:dyDescent="0.3">
      <c r="A685" s="1">
        <v>45445</v>
      </c>
      <c r="B685" s="4">
        <f t="shared" si="30"/>
        <v>2024</v>
      </c>
      <c r="C685" s="4">
        <f t="shared" si="31"/>
        <v>6</v>
      </c>
      <c r="D685" s="2">
        <v>45445.895977199078</v>
      </c>
      <c r="E685" s="4">
        <f t="shared" si="32"/>
        <v>21</v>
      </c>
      <c r="F685" t="s">
        <v>3</v>
      </c>
      <c r="G685" t="s">
        <v>267</v>
      </c>
      <c r="H685" s="3">
        <v>37.72</v>
      </c>
      <c r="I685" t="s">
        <v>7</v>
      </c>
    </row>
    <row r="686" spans="1:9" hidden="1" x14ac:dyDescent="0.3">
      <c r="A686" s="1">
        <v>45445</v>
      </c>
      <c r="B686" s="4">
        <f t="shared" si="30"/>
        <v>2024</v>
      </c>
      <c r="C686" s="4">
        <f t="shared" si="31"/>
        <v>6</v>
      </c>
      <c r="D686" s="2">
        <v>45445.946650879632</v>
      </c>
      <c r="E686" s="4">
        <f t="shared" si="32"/>
        <v>22</v>
      </c>
      <c r="F686" t="s">
        <v>21</v>
      </c>
      <c r="H686" s="3">
        <v>34</v>
      </c>
      <c r="I686" t="s">
        <v>14</v>
      </c>
    </row>
    <row r="687" spans="1:9" x14ac:dyDescent="0.3">
      <c r="A687" s="1">
        <v>45446</v>
      </c>
      <c r="B687" s="4">
        <f t="shared" si="30"/>
        <v>2024</v>
      </c>
      <c r="C687" s="4">
        <f t="shared" si="31"/>
        <v>6</v>
      </c>
      <c r="D687" s="2">
        <v>45446.425047928242</v>
      </c>
      <c r="E687" s="4">
        <f t="shared" si="32"/>
        <v>10</v>
      </c>
      <c r="F687" t="s">
        <v>3</v>
      </c>
      <c r="G687" t="s">
        <v>6</v>
      </c>
      <c r="H687" s="3">
        <v>37.72</v>
      </c>
      <c r="I687" t="s">
        <v>7</v>
      </c>
    </row>
    <row r="688" spans="1:9" x14ac:dyDescent="0.3">
      <c r="A688" s="1">
        <v>45446</v>
      </c>
      <c r="B688" s="4">
        <f t="shared" si="30"/>
        <v>2024</v>
      </c>
      <c r="C688" s="4">
        <f t="shared" si="31"/>
        <v>6</v>
      </c>
      <c r="D688" s="2">
        <v>45446.43599302083</v>
      </c>
      <c r="E688" s="4">
        <f t="shared" si="32"/>
        <v>10</v>
      </c>
      <c r="F688" t="s">
        <v>3</v>
      </c>
      <c r="G688" t="s">
        <v>205</v>
      </c>
      <c r="H688" s="3">
        <v>37.72</v>
      </c>
      <c r="I688" t="s">
        <v>7</v>
      </c>
    </row>
    <row r="689" spans="1:9" x14ac:dyDescent="0.3">
      <c r="A689" s="1">
        <v>45446</v>
      </c>
      <c r="B689" s="4">
        <f t="shared" si="30"/>
        <v>2024</v>
      </c>
      <c r="C689" s="4">
        <f t="shared" si="31"/>
        <v>6</v>
      </c>
      <c r="D689" s="2">
        <v>45446.605351134262</v>
      </c>
      <c r="E689" s="4">
        <f t="shared" si="32"/>
        <v>14</v>
      </c>
      <c r="F689" t="s">
        <v>3</v>
      </c>
      <c r="G689" t="s">
        <v>38</v>
      </c>
      <c r="H689" s="3">
        <v>37.72</v>
      </c>
      <c r="I689" t="s">
        <v>43</v>
      </c>
    </row>
    <row r="690" spans="1:9" x14ac:dyDescent="0.3">
      <c r="A690" s="1">
        <v>45446</v>
      </c>
      <c r="B690" s="4">
        <f t="shared" si="30"/>
        <v>2024</v>
      </c>
      <c r="C690" s="4">
        <f t="shared" si="31"/>
        <v>6</v>
      </c>
      <c r="D690" s="2">
        <v>45446.606261018518</v>
      </c>
      <c r="E690" s="4">
        <f t="shared" si="32"/>
        <v>14</v>
      </c>
      <c r="F690" t="s">
        <v>3</v>
      </c>
      <c r="G690" t="s">
        <v>37</v>
      </c>
      <c r="H690" s="3">
        <v>32.82</v>
      </c>
      <c r="I690" t="s">
        <v>14</v>
      </c>
    </row>
    <row r="691" spans="1:9" x14ac:dyDescent="0.3">
      <c r="A691" s="1">
        <v>45446</v>
      </c>
      <c r="B691" s="4">
        <f t="shared" si="30"/>
        <v>2024</v>
      </c>
      <c r="C691" s="4">
        <f t="shared" si="31"/>
        <v>6</v>
      </c>
      <c r="D691" s="2">
        <v>45446.607024560188</v>
      </c>
      <c r="E691" s="4">
        <f t="shared" si="32"/>
        <v>14</v>
      </c>
      <c r="F691" t="s">
        <v>3</v>
      </c>
      <c r="G691" t="s">
        <v>19</v>
      </c>
      <c r="H691" s="3">
        <v>37.72</v>
      </c>
      <c r="I691" t="s">
        <v>7</v>
      </c>
    </row>
    <row r="692" spans="1:9" hidden="1" x14ac:dyDescent="0.3">
      <c r="A692" s="1">
        <v>45446</v>
      </c>
      <c r="B692" s="4">
        <f t="shared" si="30"/>
        <v>2024</v>
      </c>
      <c r="C692" s="4">
        <f t="shared" si="31"/>
        <v>6</v>
      </c>
      <c r="D692" s="2">
        <v>45446.904765439816</v>
      </c>
      <c r="E692" s="4">
        <f t="shared" si="32"/>
        <v>21</v>
      </c>
      <c r="F692" t="s">
        <v>21</v>
      </c>
      <c r="H692" s="3">
        <v>34</v>
      </c>
      <c r="I692" t="s">
        <v>14</v>
      </c>
    </row>
    <row r="693" spans="1:9" hidden="1" x14ac:dyDescent="0.3">
      <c r="A693" s="1">
        <v>45446</v>
      </c>
      <c r="B693" s="4">
        <f t="shared" si="30"/>
        <v>2024</v>
      </c>
      <c r="C693" s="4">
        <f t="shared" si="31"/>
        <v>6</v>
      </c>
      <c r="D693" s="2">
        <v>45446.90529480324</v>
      </c>
      <c r="E693" s="4">
        <f t="shared" si="32"/>
        <v>21</v>
      </c>
      <c r="F693" t="s">
        <v>21</v>
      </c>
      <c r="H693" s="3">
        <v>34</v>
      </c>
      <c r="I693" t="s">
        <v>14</v>
      </c>
    </row>
    <row r="694" spans="1:9" x14ac:dyDescent="0.3">
      <c r="A694" s="1">
        <v>45447</v>
      </c>
      <c r="B694" s="4">
        <f t="shared" si="30"/>
        <v>2024</v>
      </c>
      <c r="C694" s="4">
        <f t="shared" si="31"/>
        <v>6</v>
      </c>
      <c r="D694" s="2">
        <v>45447.391468726855</v>
      </c>
      <c r="E694" s="4">
        <f t="shared" si="32"/>
        <v>9</v>
      </c>
      <c r="F694" t="s">
        <v>3</v>
      </c>
      <c r="G694" t="s">
        <v>155</v>
      </c>
      <c r="H694" s="3">
        <v>27.92</v>
      </c>
      <c r="I694" t="s">
        <v>28</v>
      </c>
    </row>
    <row r="695" spans="1:9" x14ac:dyDescent="0.3">
      <c r="A695" s="1">
        <v>45447</v>
      </c>
      <c r="B695" s="4">
        <f t="shared" si="30"/>
        <v>2024</v>
      </c>
      <c r="C695" s="4">
        <f t="shared" si="31"/>
        <v>6</v>
      </c>
      <c r="D695" s="2">
        <v>45447.435578414355</v>
      </c>
      <c r="E695" s="4">
        <f t="shared" si="32"/>
        <v>10</v>
      </c>
      <c r="F695" t="s">
        <v>3</v>
      </c>
      <c r="G695" t="s">
        <v>111</v>
      </c>
      <c r="H695" s="3">
        <v>32.82</v>
      </c>
      <c r="I695" t="s">
        <v>14</v>
      </c>
    </row>
    <row r="696" spans="1:9" x14ac:dyDescent="0.3">
      <c r="A696" s="1">
        <v>45447</v>
      </c>
      <c r="B696" s="4">
        <f t="shared" si="30"/>
        <v>2024</v>
      </c>
      <c r="C696" s="4">
        <f t="shared" si="31"/>
        <v>6</v>
      </c>
      <c r="D696" s="2">
        <v>45447.501507094908</v>
      </c>
      <c r="E696" s="4">
        <f t="shared" si="32"/>
        <v>12</v>
      </c>
      <c r="F696" t="s">
        <v>3</v>
      </c>
      <c r="G696" t="s">
        <v>268</v>
      </c>
      <c r="H696" s="3">
        <v>37.72</v>
      </c>
      <c r="I696" t="s">
        <v>7</v>
      </c>
    </row>
    <row r="697" spans="1:9" x14ac:dyDescent="0.3">
      <c r="A697" s="1">
        <v>45447</v>
      </c>
      <c r="B697" s="4">
        <f t="shared" si="30"/>
        <v>2024</v>
      </c>
      <c r="C697" s="4">
        <f t="shared" si="31"/>
        <v>6</v>
      </c>
      <c r="D697" s="2">
        <v>45447.503810023147</v>
      </c>
      <c r="E697" s="4">
        <f t="shared" si="32"/>
        <v>12</v>
      </c>
      <c r="F697" t="s">
        <v>3</v>
      </c>
      <c r="G697" t="s">
        <v>268</v>
      </c>
      <c r="H697" s="3">
        <v>37.72</v>
      </c>
      <c r="I697" t="s">
        <v>9</v>
      </c>
    </row>
    <row r="698" spans="1:9" x14ac:dyDescent="0.3">
      <c r="A698" s="1">
        <v>45447</v>
      </c>
      <c r="B698" s="4">
        <f t="shared" si="30"/>
        <v>2024</v>
      </c>
      <c r="C698" s="4">
        <f t="shared" si="31"/>
        <v>6</v>
      </c>
      <c r="D698" s="2">
        <v>45447.646208969905</v>
      </c>
      <c r="E698" s="4">
        <f t="shared" si="32"/>
        <v>15</v>
      </c>
      <c r="F698" t="s">
        <v>3</v>
      </c>
      <c r="G698" t="s">
        <v>269</v>
      </c>
      <c r="H698" s="3">
        <v>37.72</v>
      </c>
      <c r="I698" t="s">
        <v>7</v>
      </c>
    </row>
    <row r="699" spans="1:9" x14ac:dyDescent="0.3">
      <c r="A699" s="1">
        <v>45447</v>
      </c>
      <c r="B699" s="4">
        <f t="shared" si="30"/>
        <v>2024</v>
      </c>
      <c r="C699" s="4">
        <f t="shared" si="31"/>
        <v>6</v>
      </c>
      <c r="D699" s="2">
        <v>45447.74070209491</v>
      </c>
      <c r="E699" s="4">
        <f t="shared" si="32"/>
        <v>17</v>
      </c>
      <c r="F699" t="s">
        <v>3</v>
      </c>
      <c r="G699" t="s">
        <v>206</v>
      </c>
      <c r="H699" s="3">
        <v>27.92</v>
      </c>
      <c r="I699" t="s">
        <v>28</v>
      </c>
    </row>
    <row r="700" spans="1:9" x14ac:dyDescent="0.3">
      <c r="A700" s="1">
        <v>45447</v>
      </c>
      <c r="B700" s="4">
        <f t="shared" si="30"/>
        <v>2024</v>
      </c>
      <c r="C700" s="4">
        <f t="shared" si="31"/>
        <v>6</v>
      </c>
      <c r="D700" s="2">
        <v>45447.741306099539</v>
      </c>
      <c r="E700" s="4">
        <f t="shared" si="32"/>
        <v>17</v>
      </c>
      <c r="F700" t="s">
        <v>3</v>
      </c>
      <c r="G700" t="s">
        <v>206</v>
      </c>
      <c r="H700" s="3">
        <v>37.72</v>
      </c>
      <c r="I700" t="s">
        <v>43</v>
      </c>
    </row>
    <row r="701" spans="1:9" x14ac:dyDescent="0.3">
      <c r="A701" s="1">
        <v>45447</v>
      </c>
      <c r="B701" s="4">
        <f t="shared" si="30"/>
        <v>2024</v>
      </c>
      <c r="C701" s="4">
        <f t="shared" si="31"/>
        <v>6</v>
      </c>
      <c r="D701" s="2">
        <v>45447.842375046297</v>
      </c>
      <c r="E701" s="4">
        <f t="shared" si="32"/>
        <v>20</v>
      </c>
      <c r="F701" t="s">
        <v>3</v>
      </c>
      <c r="G701" t="s">
        <v>270</v>
      </c>
      <c r="H701" s="3">
        <v>37.72</v>
      </c>
      <c r="I701" t="s">
        <v>9</v>
      </c>
    </row>
    <row r="702" spans="1:9" x14ac:dyDescent="0.3">
      <c r="A702" s="1">
        <v>45447</v>
      </c>
      <c r="B702" s="4">
        <f t="shared" si="30"/>
        <v>2024</v>
      </c>
      <c r="C702" s="4">
        <f t="shared" si="31"/>
        <v>6</v>
      </c>
      <c r="D702" s="2">
        <v>45447.868447870373</v>
      </c>
      <c r="E702" s="4">
        <f t="shared" si="32"/>
        <v>20</v>
      </c>
      <c r="F702" t="s">
        <v>3</v>
      </c>
      <c r="G702" t="s">
        <v>271</v>
      </c>
      <c r="H702" s="3">
        <v>37.72</v>
      </c>
      <c r="I702" t="s">
        <v>43</v>
      </c>
    </row>
    <row r="703" spans="1:9" x14ac:dyDescent="0.3">
      <c r="A703" s="1">
        <v>45447</v>
      </c>
      <c r="B703" s="4">
        <f t="shared" si="30"/>
        <v>2024</v>
      </c>
      <c r="C703" s="4">
        <f t="shared" si="31"/>
        <v>6</v>
      </c>
      <c r="D703" s="2">
        <v>45447.897209583331</v>
      </c>
      <c r="E703" s="4">
        <f t="shared" si="32"/>
        <v>21</v>
      </c>
      <c r="F703" t="s">
        <v>3</v>
      </c>
      <c r="G703" t="s">
        <v>272</v>
      </c>
      <c r="H703" s="3">
        <v>27.92</v>
      </c>
      <c r="I703" t="s">
        <v>28</v>
      </c>
    </row>
    <row r="704" spans="1:9" x14ac:dyDescent="0.3">
      <c r="A704" s="1">
        <v>45447</v>
      </c>
      <c r="B704" s="4">
        <f t="shared" si="30"/>
        <v>2024</v>
      </c>
      <c r="C704" s="4">
        <f t="shared" si="31"/>
        <v>6</v>
      </c>
      <c r="D704" s="2">
        <v>45447.897947002311</v>
      </c>
      <c r="E704" s="4">
        <f t="shared" si="32"/>
        <v>21</v>
      </c>
      <c r="F704" t="s">
        <v>3</v>
      </c>
      <c r="G704" t="s">
        <v>273</v>
      </c>
      <c r="H704" s="3">
        <v>32.82</v>
      </c>
      <c r="I704" t="s">
        <v>14</v>
      </c>
    </row>
    <row r="705" spans="1:9" x14ac:dyDescent="0.3">
      <c r="A705" s="1">
        <v>45447</v>
      </c>
      <c r="B705" s="4">
        <f t="shared" ref="B705:B768" si="33">YEAR(A705)</f>
        <v>2024</v>
      </c>
      <c r="C705" s="4">
        <f t="shared" ref="C705:C768" si="34">MONTH(A705)</f>
        <v>6</v>
      </c>
      <c r="D705" s="2">
        <v>45447.899255405093</v>
      </c>
      <c r="E705" s="4">
        <f t="shared" ref="E705:E768" si="35">HOUR(D705)</f>
        <v>21</v>
      </c>
      <c r="F705" t="s">
        <v>3</v>
      </c>
      <c r="G705" t="s">
        <v>274</v>
      </c>
      <c r="H705" s="3">
        <v>32.82</v>
      </c>
      <c r="I705" t="s">
        <v>14</v>
      </c>
    </row>
    <row r="706" spans="1:9" x14ac:dyDescent="0.3">
      <c r="A706" s="1">
        <v>45447</v>
      </c>
      <c r="B706" s="4">
        <f t="shared" si="33"/>
        <v>2024</v>
      </c>
      <c r="C706" s="4">
        <f t="shared" si="34"/>
        <v>6</v>
      </c>
      <c r="D706" s="2">
        <v>45447.90008013889</v>
      </c>
      <c r="E706" s="4">
        <f t="shared" si="35"/>
        <v>21</v>
      </c>
      <c r="F706" t="s">
        <v>3</v>
      </c>
      <c r="G706" t="s">
        <v>274</v>
      </c>
      <c r="H706" s="3">
        <v>32.82</v>
      </c>
      <c r="I706" t="s">
        <v>14</v>
      </c>
    </row>
    <row r="707" spans="1:9" x14ac:dyDescent="0.3">
      <c r="A707" s="1">
        <v>45447</v>
      </c>
      <c r="B707" s="4">
        <f t="shared" si="33"/>
        <v>2024</v>
      </c>
      <c r="C707" s="4">
        <f t="shared" si="34"/>
        <v>6</v>
      </c>
      <c r="D707" s="2">
        <v>45447.900869953701</v>
      </c>
      <c r="E707" s="4">
        <f t="shared" si="35"/>
        <v>21</v>
      </c>
      <c r="F707" t="s">
        <v>3</v>
      </c>
      <c r="G707" t="s">
        <v>274</v>
      </c>
      <c r="H707" s="3">
        <v>32.82</v>
      </c>
      <c r="I707" t="s">
        <v>14</v>
      </c>
    </row>
    <row r="708" spans="1:9" x14ac:dyDescent="0.3">
      <c r="A708" s="1">
        <v>45448</v>
      </c>
      <c r="B708" s="4">
        <f t="shared" si="33"/>
        <v>2024</v>
      </c>
      <c r="C708" s="4">
        <f t="shared" si="34"/>
        <v>6</v>
      </c>
      <c r="D708" s="2">
        <v>45448.348483379632</v>
      </c>
      <c r="E708" s="4">
        <f t="shared" si="35"/>
        <v>8</v>
      </c>
      <c r="F708" t="s">
        <v>3</v>
      </c>
      <c r="G708" t="s">
        <v>275</v>
      </c>
      <c r="H708" s="3">
        <v>37.72</v>
      </c>
      <c r="I708" t="s">
        <v>43</v>
      </c>
    </row>
    <row r="709" spans="1:9" x14ac:dyDescent="0.3">
      <c r="A709" s="1">
        <v>45448</v>
      </c>
      <c r="B709" s="4">
        <f t="shared" si="33"/>
        <v>2024</v>
      </c>
      <c r="C709" s="4">
        <f t="shared" si="34"/>
        <v>6</v>
      </c>
      <c r="D709" s="2">
        <v>45448.349383368055</v>
      </c>
      <c r="E709" s="4">
        <f t="shared" si="35"/>
        <v>8</v>
      </c>
      <c r="F709" t="s">
        <v>3</v>
      </c>
      <c r="G709" t="s">
        <v>275</v>
      </c>
      <c r="H709" s="3">
        <v>37.72</v>
      </c>
      <c r="I709" t="s">
        <v>43</v>
      </c>
    </row>
    <row r="710" spans="1:9" x14ac:dyDescent="0.3">
      <c r="A710" s="1">
        <v>45448</v>
      </c>
      <c r="B710" s="4">
        <f t="shared" si="33"/>
        <v>2024</v>
      </c>
      <c r="C710" s="4">
        <f t="shared" si="34"/>
        <v>6</v>
      </c>
      <c r="D710" s="2">
        <v>45448.390776712964</v>
      </c>
      <c r="E710" s="4">
        <f t="shared" si="35"/>
        <v>9</v>
      </c>
      <c r="F710" t="s">
        <v>3</v>
      </c>
      <c r="G710" t="s">
        <v>276</v>
      </c>
      <c r="H710" s="3">
        <v>27.92</v>
      </c>
      <c r="I710" t="s">
        <v>11</v>
      </c>
    </row>
    <row r="711" spans="1:9" x14ac:dyDescent="0.3">
      <c r="A711" s="1">
        <v>45448</v>
      </c>
      <c r="B711" s="4">
        <f t="shared" si="33"/>
        <v>2024</v>
      </c>
      <c r="C711" s="4">
        <f t="shared" si="34"/>
        <v>6</v>
      </c>
      <c r="D711" s="2">
        <v>45448.436696990742</v>
      </c>
      <c r="E711" s="4">
        <f t="shared" si="35"/>
        <v>10</v>
      </c>
      <c r="F711" t="s">
        <v>3</v>
      </c>
      <c r="G711" t="s">
        <v>6</v>
      </c>
      <c r="H711" s="3">
        <v>37.72</v>
      </c>
      <c r="I711" t="s">
        <v>7</v>
      </c>
    </row>
    <row r="712" spans="1:9" x14ac:dyDescent="0.3">
      <c r="A712" s="1">
        <v>45448</v>
      </c>
      <c r="B712" s="4">
        <f t="shared" si="33"/>
        <v>2024</v>
      </c>
      <c r="C712" s="4">
        <f t="shared" si="34"/>
        <v>6</v>
      </c>
      <c r="D712" s="2">
        <v>45448.445060046295</v>
      </c>
      <c r="E712" s="4">
        <f t="shared" si="35"/>
        <v>10</v>
      </c>
      <c r="F712" t="s">
        <v>3</v>
      </c>
      <c r="G712" t="s">
        <v>111</v>
      </c>
      <c r="H712" s="3">
        <v>32.82</v>
      </c>
      <c r="I712" t="s">
        <v>14</v>
      </c>
    </row>
    <row r="713" spans="1:9" x14ac:dyDescent="0.3">
      <c r="A713" s="1">
        <v>45448</v>
      </c>
      <c r="B713" s="4">
        <f t="shared" si="33"/>
        <v>2024</v>
      </c>
      <c r="C713" s="4">
        <f t="shared" si="34"/>
        <v>6</v>
      </c>
      <c r="D713" s="2">
        <v>45448.822195312503</v>
      </c>
      <c r="E713" s="4">
        <f t="shared" si="35"/>
        <v>19</v>
      </c>
      <c r="F713" t="s">
        <v>3</v>
      </c>
      <c r="G713" t="s">
        <v>277</v>
      </c>
      <c r="H713" s="3">
        <v>32.82</v>
      </c>
      <c r="I713" t="s">
        <v>14</v>
      </c>
    </row>
    <row r="714" spans="1:9" x14ac:dyDescent="0.3">
      <c r="A714" s="1">
        <v>45448</v>
      </c>
      <c r="B714" s="4">
        <f t="shared" si="33"/>
        <v>2024</v>
      </c>
      <c r="C714" s="4">
        <f t="shared" si="34"/>
        <v>6</v>
      </c>
      <c r="D714" s="2">
        <v>45448.83325841435</v>
      </c>
      <c r="E714" s="4">
        <f t="shared" si="35"/>
        <v>19</v>
      </c>
      <c r="F714" t="s">
        <v>3</v>
      </c>
      <c r="G714" t="s">
        <v>278</v>
      </c>
      <c r="H714" s="3">
        <v>37.72</v>
      </c>
      <c r="I714" t="s">
        <v>7</v>
      </c>
    </row>
    <row r="715" spans="1:9" x14ac:dyDescent="0.3">
      <c r="A715" s="1">
        <v>45448</v>
      </c>
      <c r="B715" s="4">
        <f t="shared" si="33"/>
        <v>2024</v>
      </c>
      <c r="C715" s="4">
        <f t="shared" si="34"/>
        <v>6</v>
      </c>
      <c r="D715" s="2">
        <v>45448.840828969907</v>
      </c>
      <c r="E715" s="4">
        <f t="shared" si="35"/>
        <v>20</v>
      </c>
      <c r="F715" t="s">
        <v>3</v>
      </c>
      <c r="G715" t="s">
        <v>234</v>
      </c>
      <c r="H715" s="3">
        <v>37.72</v>
      </c>
      <c r="I715" t="s">
        <v>18</v>
      </c>
    </row>
    <row r="716" spans="1:9" x14ac:dyDescent="0.3">
      <c r="A716" s="1">
        <v>45448</v>
      </c>
      <c r="B716" s="4">
        <f t="shared" si="33"/>
        <v>2024</v>
      </c>
      <c r="C716" s="4">
        <f t="shared" si="34"/>
        <v>6</v>
      </c>
      <c r="D716" s="2">
        <v>45448.841685856481</v>
      </c>
      <c r="E716" s="4">
        <f t="shared" si="35"/>
        <v>20</v>
      </c>
      <c r="F716" t="s">
        <v>3</v>
      </c>
      <c r="G716" t="s">
        <v>234</v>
      </c>
      <c r="H716" s="3">
        <v>27.92</v>
      </c>
      <c r="I716" t="s">
        <v>28</v>
      </c>
    </row>
    <row r="717" spans="1:9" x14ac:dyDescent="0.3">
      <c r="A717" s="1">
        <v>45449</v>
      </c>
      <c r="B717" s="4">
        <f t="shared" si="33"/>
        <v>2024</v>
      </c>
      <c r="C717" s="4">
        <f t="shared" si="34"/>
        <v>6</v>
      </c>
      <c r="D717" s="2">
        <v>45449.37009665509</v>
      </c>
      <c r="E717" s="4">
        <f t="shared" si="35"/>
        <v>8</v>
      </c>
      <c r="F717" t="s">
        <v>3</v>
      </c>
      <c r="G717" t="s">
        <v>111</v>
      </c>
      <c r="H717" s="3">
        <v>32.82</v>
      </c>
      <c r="I717" t="s">
        <v>14</v>
      </c>
    </row>
    <row r="718" spans="1:9" x14ac:dyDescent="0.3">
      <c r="A718" s="1">
        <v>45449</v>
      </c>
      <c r="B718" s="4">
        <f t="shared" si="33"/>
        <v>2024</v>
      </c>
      <c r="C718" s="4">
        <f t="shared" si="34"/>
        <v>6</v>
      </c>
      <c r="D718" s="2">
        <v>45449.370931192127</v>
      </c>
      <c r="E718" s="4">
        <f t="shared" si="35"/>
        <v>8</v>
      </c>
      <c r="F718" t="s">
        <v>3</v>
      </c>
      <c r="G718" t="s">
        <v>111</v>
      </c>
      <c r="H718" s="3">
        <v>32.82</v>
      </c>
      <c r="I718" t="s">
        <v>14</v>
      </c>
    </row>
    <row r="719" spans="1:9" x14ac:dyDescent="0.3">
      <c r="A719" s="1">
        <v>45449</v>
      </c>
      <c r="B719" s="4">
        <f t="shared" si="33"/>
        <v>2024</v>
      </c>
      <c r="C719" s="4">
        <f t="shared" si="34"/>
        <v>6</v>
      </c>
      <c r="D719" s="2">
        <v>45449.441778553242</v>
      </c>
      <c r="E719" s="4">
        <f t="shared" si="35"/>
        <v>10</v>
      </c>
      <c r="F719" t="s">
        <v>3</v>
      </c>
      <c r="G719" t="s">
        <v>6</v>
      </c>
      <c r="H719" s="3">
        <v>37.72</v>
      </c>
      <c r="I719" t="s">
        <v>7</v>
      </c>
    </row>
    <row r="720" spans="1:9" x14ac:dyDescent="0.3">
      <c r="A720" s="1">
        <v>45449</v>
      </c>
      <c r="B720" s="4">
        <f t="shared" si="33"/>
        <v>2024</v>
      </c>
      <c r="C720" s="4">
        <f t="shared" si="34"/>
        <v>6</v>
      </c>
      <c r="D720" s="2">
        <v>45449.512285578705</v>
      </c>
      <c r="E720" s="4">
        <f t="shared" si="35"/>
        <v>12</v>
      </c>
      <c r="F720" t="s">
        <v>3</v>
      </c>
      <c r="G720" t="s">
        <v>279</v>
      </c>
      <c r="H720" s="3">
        <v>27.92</v>
      </c>
      <c r="I720" t="s">
        <v>11</v>
      </c>
    </row>
    <row r="721" spans="1:9" x14ac:dyDescent="0.3">
      <c r="A721" s="1">
        <v>45449</v>
      </c>
      <c r="B721" s="4">
        <f t="shared" si="33"/>
        <v>2024</v>
      </c>
      <c r="C721" s="4">
        <f t="shared" si="34"/>
        <v>6</v>
      </c>
      <c r="D721" s="2">
        <v>45449.632803067128</v>
      </c>
      <c r="E721" s="4">
        <f t="shared" si="35"/>
        <v>15</v>
      </c>
      <c r="F721" t="s">
        <v>3</v>
      </c>
      <c r="G721" t="s">
        <v>238</v>
      </c>
      <c r="H721" s="3">
        <v>32.82</v>
      </c>
      <c r="I721" t="s">
        <v>14</v>
      </c>
    </row>
    <row r="722" spans="1:9" x14ac:dyDescent="0.3">
      <c r="A722" s="1">
        <v>45449</v>
      </c>
      <c r="B722" s="4">
        <f t="shared" si="33"/>
        <v>2024</v>
      </c>
      <c r="C722" s="4">
        <f t="shared" si="34"/>
        <v>6</v>
      </c>
      <c r="D722" s="2">
        <v>45449.641738668979</v>
      </c>
      <c r="E722" s="4">
        <f t="shared" si="35"/>
        <v>15</v>
      </c>
      <c r="F722" t="s">
        <v>3</v>
      </c>
      <c r="G722" t="s">
        <v>280</v>
      </c>
      <c r="H722" s="3">
        <v>37.72</v>
      </c>
      <c r="I722" t="s">
        <v>43</v>
      </c>
    </row>
    <row r="723" spans="1:9" x14ac:dyDescent="0.3">
      <c r="A723" s="1">
        <v>45449</v>
      </c>
      <c r="B723" s="4">
        <f t="shared" si="33"/>
        <v>2024</v>
      </c>
      <c r="C723" s="4">
        <f t="shared" si="34"/>
        <v>6</v>
      </c>
      <c r="D723" s="2">
        <v>45449.884781273147</v>
      </c>
      <c r="E723" s="4">
        <f t="shared" si="35"/>
        <v>21</v>
      </c>
      <c r="F723" t="s">
        <v>3</v>
      </c>
      <c r="G723" t="s">
        <v>281</v>
      </c>
      <c r="H723" s="3">
        <v>37.72</v>
      </c>
      <c r="I723" t="s">
        <v>7</v>
      </c>
    </row>
    <row r="724" spans="1:9" x14ac:dyDescent="0.3">
      <c r="A724" s="1">
        <v>45449</v>
      </c>
      <c r="B724" s="4">
        <f t="shared" si="33"/>
        <v>2024</v>
      </c>
      <c r="C724" s="4">
        <f t="shared" si="34"/>
        <v>6</v>
      </c>
      <c r="D724" s="2">
        <v>45449.885905405092</v>
      </c>
      <c r="E724" s="4">
        <f t="shared" si="35"/>
        <v>21</v>
      </c>
      <c r="F724" t="s">
        <v>3</v>
      </c>
      <c r="G724" t="s">
        <v>281</v>
      </c>
      <c r="H724" s="3">
        <v>37.72</v>
      </c>
      <c r="I724" t="s">
        <v>7</v>
      </c>
    </row>
    <row r="725" spans="1:9" x14ac:dyDescent="0.3">
      <c r="A725" s="1">
        <v>45449</v>
      </c>
      <c r="B725" s="4">
        <f t="shared" si="33"/>
        <v>2024</v>
      </c>
      <c r="C725" s="4">
        <f t="shared" si="34"/>
        <v>6</v>
      </c>
      <c r="D725" s="2">
        <v>45449.887809178239</v>
      </c>
      <c r="E725" s="4">
        <f t="shared" si="35"/>
        <v>21</v>
      </c>
      <c r="F725" t="s">
        <v>3</v>
      </c>
      <c r="G725" t="s">
        <v>220</v>
      </c>
      <c r="H725" s="3">
        <v>37.72</v>
      </c>
      <c r="I725" t="s">
        <v>43</v>
      </c>
    </row>
    <row r="726" spans="1:9" x14ac:dyDescent="0.3">
      <c r="A726" s="1">
        <v>45449</v>
      </c>
      <c r="B726" s="4">
        <f t="shared" si="33"/>
        <v>2024</v>
      </c>
      <c r="C726" s="4">
        <f t="shared" si="34"/>
        <v>6</v>
      </c>
      <c r="D726" s="2">
        <v>45449.888546712966</v>
      </c>
      <c r="E726" s="4">
        <f t="shared" si="35"/>
        <v>21</v>
      </c>
      <c r="F726" t="s">
        <v>3</v>
      </c>
      <c r="G726" t="s">
        <v>220</v>
      </c>
      <c r="H726" s="3">
        <v>32.82</v>
      </c>
      <c r="I726" t="s">
        <v>14</v>
      </c>
    </row>
    <row r="727" spans="1:9" x14ac:dyDescent="0.3">
      <c r="A727" s="1">
        <v>45449</v>
      </c>
      <c r="B727" s="4">
        <f t="shared" si="33"/>
        <v>2024</v>
      </c>
      <c r="C727" s="4">
        <f t="shared" si="34"/>
        <v>6</v>
      </c>
      <c r="D727" s="2">
        <v>45449.889634722225</v>
      </c>
      <c r="E727" s="4">
        <f t="shared" si="35"/>
        <v>21</v>
      </c>
      <c r="F727" t="s">
        <v>3</v>
      </c>
      <c r="G727" t="s">
        <v>281</v>
      </c>
      <c r="H727" s="3">
        <v>37.72</v>
      </c>
      <c r="I727" t="s">
        <v>7</v>
      </c>
    </row>
    <row r="728" spans="1:9" x14ac:dyDescent="0.3">
      <c r="A728" s="1">
        <v>45450</v>
      </c>
      <c r="B728" s="4">
        <f t="shared" si="33"/>
        <v>2024</v>
      </c>
      <c r="C728" s="4">
        <f t="shared" si="34"/>
        <v>6</v>
      </c>
      <c r="D728" s="2">
        <v>45450.345883055554</v>
      </c>
      <c r="E728" s="4">
        <f t="shared" si="35"/>
        <v>8</v>
      </c>
      <c r="F728" t="s">
        <v>3</v>
      </c>
      <c r="G728" t="s">
        <v>282</v>
      </c>
      <c r="H728" s="3">
        <v>37.72</v>
      </c>
      <c r="I728" t="s">
        <v>43</v>
      </c>
    </row>
    <row r="729" spans="1:9" x14ac:dyDescent="0.3">
      <c r="A729" s="1">
        <v>45450</v>
      </c>
      <c r="B729" s="4">
        <f t="shared" si="33"/>
        <v>2024</v>
      </c>
      <c r="C729" s="4">
        <f t="shared" si="34"/>
        <v>6</v>
      </c>
      <c r="D729" s="2">
        <v>45450.441297500001</v>
      </c>
      <c r="E729" s="4">
        <f t="shared" si="35"/>
        <v>10</v>
      </c>
      <c r="F729" t="s">
        <v>3</v>
      </c>
      <c r="G729" t="s">
        <v>283</v>
      </c>
      <c r="H729" s="3">
        <v>23.02</v>
      </c>
      <c r="I729" t="s">
        <v>35</v>
      </c>
    </row>
    <row r="730" spans="1:9" x14ac:dyDescent="0.3">
      <c r="A730" s="1">
        <v>45450</v>
      </c>
      <c r="B730" s="4">
        <f t="shared" si="33"/>
        <v>2024</v>
      </c>
      <c r="C730" s="4">
        <f t="shared" si="34"/>
        <v>6</v>
      </c>
      <c r="D730" s="2">
        <v>45450.565489548608</v>
      </c>
      <c r="E730" s="4">
        <f t="shared" si="35"/>
        <v>13</v>
      </c>
      <c r="F730" t="s">
        <v>3</v>
      </c>
      <c r="G730" t="s">
        <v>178</v>
      </c>
      <c r="H730" s="3">
        <v>32.82</v>
      </c>
      <c r="I730" t="s">
        <v>14</v>
      </c>
    </row>
    <row r="731" spans="1:9" x14ac:dyDescent="0.3">
      <c r="A731" s="1">
        <v>45450</v>
      </c>
      <c r="B731" s="4">
        <f t="shared" si="33"/>
        <v>2024</v>
      </c>
      <c r="C731" s="4">
        <f t="shared" si="34"/>
        <v>6</v>
      </c>
      <c r="D731" s="2">
        <v>45450.698405300929</v>
      </c>
      <c r="E731" s="4">
        <f t="shared" si="35"/>
        <v>16</v>
      </c>
      <c r="F731" t="s">
        <v>3</v>
      </c>
      <c r="G731" t="s">
        <v>284</v>
      </c>
      <c r="H731" s="3">
        <v>27.92</v>
      </c>
      <c r="I731" t="s">
        <v>28</v>
      </c>
    </row>
    <row r="732" spans="1:9" x14ac:dyDescent="0.3">
      <c r="A732" s="1">
        <v>45450</v>
      </c>
      <c r="B732" s="4">
        <f t="shared" si="33"/>
        <v>2024</v>
      </c>
      <c r="C732" s="4">
        <f t="shared" si="34"/>
        <v>6</v>
      </c>
      <c r="D732" s="2">
        <v>45450.699484733799</v>
      </c>
      <c r="E732" s="4">
        <f t="shared" si="35"/>
        <v>16</v>
      </c>
      <c r="F732" t="s">
        <v>3</v>
      </c>
      <c r="G732" t="s">
        <v>284</v>
      </c>
      <c r="H732" s="3">
        <v>27.92</v>
      </c>
      <c r="I732" t="s">
        <v>28</v>
      </c>
    </row>
    <row r="733" spans="1:9" x14ac:dyDescent="0.3">
      <c r="A733" s="1">
        <v>45451</v>
      </c>
      <c r="B733" s="4">
        <f t="shared" si="33"/>
        <v>2024</v>
      </c>
      <c r="C733" s="4">
        <f t="shared" si="34"/>
        <v>6</v>
      </c>
      <c r="D733" s="2">
        <v>45451.378009444445</v>
      </c>
      <c r="E733" s="4">
        <f t="shared" si="35"/>
        <v>9</v>
      </c>
      <c r="F733" t="s">
        <v>3</v>
      </c>
      <c r="G733" t="s">
        <v>285</v>
      </c>
      <c r="H733" s="3">
        <v>27.92</v>
      </c>
      <c r="I733" t="s">
        <v>28</v>
      </c>
    </row>
    <row r="734" spans="1:9" x14ac:dyDescent="0.3">
      <c r="A734" s="1">
        <v>45451</v>
      </c>
      <c r="B734" s="4">
        <f t="shared" si="33"/>
        <v>2024</v>
      </c>
      <c r="C734" s="4">
        <f t="shared" si="34"/>
        <v>6</v>
      </c>
      <c r="D734" s="2">
        <v>45451.393184722219</v>
      </c>
      <c r="E734" s="4">
        <f t="shared" si="35"/>
        <v>9</v>
      </c>
      <c r="F734" t="s">
        <v>3</v>
      </c>
      <c r="G734" t="s">
        <v>111</v>
      </c>
      <c r="H734" s="3">
        <v>32.82</v>
      </c>
      <c r="I734" t="s">
        <v>14</v>
      </c>
    </row>
    <row r="735" spans="1:9" x14ac:dyDescent="0.3">
      <c r="A735" s="1">
        <v>45451</v>
      </c>
      <c r="B735" s="4">
        <f t="shared" si="33"/>
        <v>2024</v>
      </c>
      <c r="C735" s="4">
        <f t="shared" si="34"/>
        <v>6</v>
      </c>
      <c r="D735" s="2">
        <v>45451.850628703702</v>
      </c>
      <c r="E735" s="4">
        <f t="shared" si="35"/>
        <v>20</v>
      </c>
      <c r="F735" t="s">
        <v>3</v>
      </c>
      <c r="G735" t="s">
        <v>148</v>
      </c>
      <c r="H735" s="3">
        <v>37.72</v>
      </c>
      <c r="I735" t="s">
        <v>43</v>
      </c>
    </row>
    <row r="736" spans="1:9" x14ac:dyDescent="0.3">
      <c r="A736" s="1">
        <v>45451</v>
      </c>
      <c r="B736" s="4">
        <f t="shared" si="33"/>
        <v>2024</v>
      </c>
      <c r="C736" s="4">
        <f t="shared" si="34"/>
        <v>6</v>
      </c>
      <c r="D736" s="2">
        <v>45451.851346249998</v>
      </c>
      <c r="E736" s="4">
        <f t="shared" si="35"/>
        <v>20</v>
      </c>
      <c r="F736" t="s">
        <v>3</v>
      </c>
      <c r="G736" t="s">
        <v>148</v>
      </c>
      <c r="H736" s="3">
        <v>37.72</v>
      </c>
      <c r="I736" t="s">
        <v>43</v>
      </c>
    </row>
    <row r="737" spans="1:9" x14ac:dyDescent="0.3">
      <c r="A737" s="1">
        <v>45452</v>
      </c>
      <c r="B737" s="4">
        <f t="shared" si="33"/>
        <v>2024</v>
      </c>
      <c r="C737" s="4">
        <f t="shared" si="34"/>
        <v>6</v>
      </c>
      <c r="D737" s="2">
        <v>45452.344360648145</v>
      </c>
      <c r="E737" s="4">
        <f t="shared" si="35"/>
        <v>8</v>
      </c>
      <c r="F737" t="s">
        <v>3</v>
      </c>
      <c r="G737" t="s">
        <v>111</v>
      </c>
      <c r="H737" s="3">
        <v>37.72</v>
      </c>
      <c r="I737" t="s">
        <v>7</v>
      </c>
    </row>
    <row r="738" spans="1:9" x14ac:dyDescent="0.3">
      <c r="A738" s="1">
        <v>45452</v>
      </c>
      <c r="B738" s="4">
        <f t="shared" si="33"/>
        <v>2024</v>
      </c>
      <c r="C738" s="4">
        <f t="shared" si="34"/>
        <v>6</v>
      </c>
      <c r="D738" s="2">
        <v>45452.437551631941</v>
      </c>
      <c r="E738" s="4">
        <f t="shared" si="35"/>
        <v>10</v>
      </c>
      <c r="F738" t="s">
        <v>3</v>
      </c>
      <c r="G738" t="s">
        <v>286</v>
      </c>
      <c r="H738" s="3">
        <v>37.72</v>
      </c>
      <c r="I738" t="s">
        <v>7</v>
      </c>
    </row>
    <row r="739" spans="1:9" x14ac:dyDescent="0.3">
      <c r="A739" s="1">
        <v>45452</v>
      </c>
      <c r="B739" s="4">
        <f t="shared" si="33"/>
        <v>2024</v>
      </c>
      <c r="C739" s="4">
        <f t="shared" si="34"/>
        <v>6</v>
      </c>
      <c r="D739" s="2">
        <v>45452.452844872685</v>
      </c>
      <c r="E739" s="4">
        <f t="shared" si="35"/>
        <v>10</v>
      </c>
      <c r="F739" t="s">
        <v>3</v>
      </c>
      <c r="G739" t="s">
        <v>287</v>
      </c>
      <c r="H739" s="3">
        <v>37.72</v>
      </c>
      <c r="I739" t="s">
        <v>43</v>
      </c>
    </row>
    <row r="740" spans="1:9" x14ac:dyDescent="0.3">
      <c r="A740" s="1">
        <v>45452</v>
      </c>
      <c r="B740" s="4">
        <f t="shared" si="33"/>
        <v>2024</v>
      </c>
      <c r="C740" s="4">
        <f t="shared" si="34"/>
        <v>6</v>
      </c>
      <c r="D740" s="2">
        <v>45452.461589189814</v>
      </c>
      <c r="E740" s="4">
        <f t="shared" si="35"/>
        <v>11</v>
      </c>
      <c r="F740" t="s">
        <v>3</v>
      </c>
      <c r="G740" t="s">
        <v>155</v>
      </c>
      <c r="H740" s="3">
        <v>27.92</v>
      </c>
      <c r="I740" t="s">
        <v>28</v>
      </c>
    </row>
    <row r="741" spans="1:9" x14ac:dyDescent="0.3">
      <c r="A741" s="1">
        <v>45452</v>
      </c>
      <c r="B741" s="4">
        <f t="shared" si="33"/>
        <v>2024</v>
      </c>
      <c r="C741" s="4">
        <f t="shared" si="34"/>
        <v>6</v>
      </c>
      <c r="D741" s="2">
        <v>45452.463288287036</v>
      </c>
      <c r="E741" s="4">
        <f t="shared" si="35"/>
        <v>11</v>
      </c>
      <c r="F741" t="s">
        <v>3</v>
      </c>
      <c r="G741" t="s">
        <v>288</v>
      </c>
      <c r="H741" s="3">
        <v>23.02</v>
      </c>
      <c r="I741" t="s">
        <v>35</v>
      </c>
    </row>
    <row r="742" spans="1:9" x14ac:dyDescent="0.3">
      <c r="A742" s="1">
        <v>45452</v>
      </c>
      <c r="B742" s="4">
        <f t="shared" si="33"/>
        <v>2024</v>
      </c>
      <c r="C742" s="4">
        <f t="shared" si="34"/>
        <v>6</v>
      </c>
      <c r="D742" s="2">
        <v>45452.495018703703</v>
      </c>
      <c r="E742" s="4">
        <f t="shared" si="35"/>
        <v>11</v>
      </c>
      <c r="F742" t="s">
        <v>3</v>
      </c>
      <c r="G742" t="s">
        <v>289</v>
      </c>
      <c r="H742" s="3">
        <v>37.72</v>
      </c>
      <c r="I742" t="s">
        <v>43</v>
      </c>
    </row>
    <row r="743" spans="1:9" x14ac:dyDescent="0.3">
      <c r="A743" s="1">
        <v>45452</v>
      </c>
      <c r="B743" s="4">
        <f t="shared" si="33"/>
        <v>2024</v>
      </c>
      <c r="C743" s="4">
        <f t="shared" si="34"/>
        <v>6</v>
      </c>
      <c r="D743" s="2">
        <v>45452.507912499997</v>
      </c>
      <c r="E743" s="4">
        <f t="shared" si="35"/>
        <v>12</v>
      </c>
      <c r="F743" t="s">
        <v>3</v>
      </c>
      <c r="G743" t="s">
        <v>290</v>
      </c>
      <c r="H743" s="3">
        <v>32.82</v>
      </c>
      <c r="I743" t="s">
        <v>14</v>
      </c>
    </row>
    <row r="744" spans="1:9" x14ac:dyDescent="0.3">
      <c r="A744" s="1">
        <v>45452</v>
      </c>
      <c r="B744" s="4">
        <f t="shared" si="33"/>
        <v>2024</v>
      </c>
      <c r="C744" s="4">
        <f t="shared" si="34"/>
        <v>6</v>
      </c>
      <c r="D744" s="2">
        <v>45452.509121145835</v>
      </c>
      <c r="E744" s="4">
        <f t="shared" si="35"/>
        <v>12</v>
      </c>
      <c r="F744" t="s">
        <v>3</v>
      </c>
      <c r="G744" t="s">
        <v>290</v>
      </c>
      <c r="H744" s="3">
        <v>37.72</v>
      </c>
      <c r="I744" t="s">
        <v>7</v>
      </c>
    </row>
    <row r="745" spans="1:9" x14ac:dyDescent="0.3">
      <c r="A745" s="1">
        <v>45452</v>
      </c>
      <c r="B745" s="4">
        <f t="shared" si="33"/>
        <v>2024</v>
      </c>
      <c r="C745" s="4">
        <f t="shared" si="34"/>
        <v>6</v>
      </c>
      <c r="D745" s="2">
        <v>45452.50984702546</v>
      </c>
      <c r="E745" s="4">
        <f t="shared" si="35"/>
        <v>12</v>
      </c>
      <c r="F745" t="s">
        <v>3</v>
      </c>
      <c r="G745" t="s">
        <v>290</v>
      </c>
      <c r="H745" s="3">
        <v>37.72</v>
      </c>
      <c r="I745" t="s">
        <v>7</v>
      </c>
    </row>
    <row r="746" spans="1:9" x14ac:dyDescent="0.3">
      <c r="A746" s="1">
        <v>45452</v>
      </c>
      <c r="B746" s="4">
        <f t="shared" si="33"/>
        <v>2024</v>
      </c>
      <c r="C746" s="4">
        <f t="shared" si="34"/>
        <v>6</v>
      </c>
      <c r="D746" s="2">
        <v>45452.632299675926</v>
      </c>
      <c r="E746" s="4">
        <f t="shared" si="35"/>
        <v>15</v>
      </c>
      <c r="F746" t="s">
        <v>3</v>
      </c>
      <c r="G746" t="s">
        <v>291</v>
      </c>
      <c r="H746" s="3">
        <v>27.92</v>
      </c>
      <c r="I746" t="s">
        <v>28</v>
      </c>
    </row>
    <row r="747" spans="1:9" x14ac:dyDescent="0.3">
      <c r="A747" s="1">
        <v>45452</v>
      </c>
      <c r="B747" s="4">
        <f t="shared" si="33"/>
        <v>2024</v>
      </c>
      <c r="C747" s="4">
        <f t="shared" si="34"/>
        <v>6</v>
      </c>
      <c r="D747" s="2">
        <v>45452.678798483794</v>
      </c>
      <c r="E747" s="4">
        <f t="shared" si="35"/>
        <v>16</v>
      </c>
      <c r="F747" t="s">
        <v>3</v>
      </c>
      <c r="G747" t="s">
        <v>292</v>
      </c>
      <c r="H747" s="3">
        <v>37.72</v>
      </c>
      <c r="I747" t="s">
        <v>43</v>
      </c>
    </row>
    <row r="748" spans="1:9" x14ac:dyDescent="0.3">
      <c r="A748" s="1">
        <v>45452</v>
      </c>
      <c r="B748" s="4">
        <f t="shared" si="33"/>
        <v>2024</v>
      </c>
      <c r="C748" s="4">
        <f t="shared" si="34"/>
        <v>6</v>
      </c>
      <c r="D748" s="2">
        <v>45452.806473113429</v>
      </c>
      <c r="E748" s="4">
        <f t="shared" si="35"/>
        <v>19</v>
      </c>
      <c r="F748" t="s">
        <v>3</v>
      </c>
      <c r="G748" t="s">
        <v>293</v>
      </c>
      <c r="H748" s="3">
        <v>32.82</v>
      </c>
      <c r="I748" t="s">
        <v>14</v>
      </c>
    </row>
    <row r="749" spans="1:9" x14ac:dyDescent="0.3">
      <c r="A749" s="1">
        <v>45452</v>
      </c>
      <c r="B749" s="4">
        <f t="shared" si="33"/>
        <v>2024</v>
      </c>
      <c r="C749" s="4">
        <f t="shared" si="34"/>
        <v>6</v>
      </c>
      <c r="D749" s="2">
        <v>45452.87857458333</v>
      </c>
      <c r="E749" s="4">
        <f t="shared" si="35"/>
        <v>21</v>
      </c>
      <c r="F749" t="s">
        <v>3</v>
      </c>
      <c r="G749" t="s">
        <v>294</v>
      </c>
      <c r="H749" s="3">
        <v>27.92</v>
      </c>
      <c r="I749" t="s">
        <v>11</v>
      </c>
    </row>
    <row r="750" spans="1:9" x14ac:dyDescent="0.3">
      <c r="A750" s="1">
        <v>45453</v>
      </c>
      <c r="B750" s="4">
        <f t="shared" si="33"/>
        <v>2024</v>
      </c>
      <c r="C750" s="4">
        <f t="shared" si="34"/>
        <v>6</v>
      </c>
      <c r="D750" s="2">
        <v>45453.5332159838</v>
      </c>
      <c r="E750" s="4">
        <f t="shared" si="35"/>
        <v>12</v>
      </c>
      <c r="F750" t="s">
        <v>3</v>
      </c>
      <c r="G750" t="s">
        <v>295</v>
      </c>
      <c r="H750" s="3">
        <v>37.72</v>
      </c>
      <c r="I750" t="s">
        <v>43</v>
      </c>
    </row>
    <row r="751" spans="1:9" x14ac:dyDescent="0.3">
      <c r="A751" s="1">
        <v>45453</v>
      </c>
      <c r="B751" s="4">
        <f t="shared" si="33"/>
        <v>2024</v>
      </c>
      <c r="C751" s="4">
        <f t="shared" si="34"/>
        <v>6</v>
      </c>
      <c r="D751" s="2">
        <v>45453.539447546296</v>
      </c>
      <c r="E751" s="4">
        <f t="shared" si="35"/>
        <v>12</v>
      </c>
      <c r="F751" t="s">
        <v>3</v>
      </c>
      <c r="G751" t="s">
        <v>111</v>
      </c>
      <c r="H751" s="3">
        <v>37.72</v>
      </c>
      <c r="I751" t="s">
        <v>7</v>
      </c>
    </row>
    <row r="752" spans="1:9" x14ac:dyDescent="0.3">
      <c r="A752" s="1">
        <v>45453</v>
      </c>
      <c r="B752" s="4">
        <f t="shared" si="33"/>
        <v>2024</v>
      </c>
      <c r="C752" s="4">
        <f t="shared" si="34"/>
        <v>6</v>
      </c>
      <c r="D752" s="2">
        <v>45453.794769745371</v>
      </c>
      <c r="E752" s="4">
        <f t="shared" si="35"/>
        <v>19</v>
      </c>
      <c r="F752" t="s">
        <v>3</v>
      </c>
      <c r="G752" t="s">
        <v>296</v>
      </c>
      <c r="H752" s="3">
        <v>37.72</v>
      </c>
      <c r="I752" t="s">
        <v>9</v>
      </c>
    </row>
    <row r="753" spans="1:9" x14ac:dyDescent="0.3">
      <c r="A753" s="1">
        <v>45453</v>
      </c>
      <c r="B753" s="4">
        <f t="shared" si="33"/>
        <v>2024</v>
      </c>
      <c r="C753" s="4">
        <f t="shared" si="34"/>
        <v>6</v>
      </c>
      <c r="D753" s="2">
        <v>45453.795402430558</v>
      </c>
      <c r="E753" s="4">
        <f t="shared" si="35"/>
        <v>19</v>
      </c>
      <c r="F753" t="s">
        <v>3</v>
      </c>
      <c r="G753" t="s">
        <v>296</v>
      </c>
      <c r="H753" s="3">
        <v>37.72</v>
      </c>
      <c r="I753" t="s">
        <v>9</v>
      </c>
    </row>
    <row r="754" spans="1:9" x14ac:dyDescent="0.3">
      <c r="A754" s="1">
        <v>45453</v>
      </c>
      <c r="B754" s="4">
        <f t="shared" si="33"/>
        <v>2024</v>
      </c>
      <c r="C754" s="4">
        <f t="shared" si="34"/>
        <v>6</v>
      </c>
      <c r="D754" s="2">
        <v>45453.817634282408</v>
      </c>
      <c r="E754" s="4">
        <f t="shared" si="35"/>
        <v>19</v>
      </c>
      <c r="F754" t="s">
        <v>3</v>
      </c>
      <c r="G754" t="s">
        <v>297</v>
      </c>
      <c r="H754" s="3">
        <v>37.72</v>
      </c>
      <c r="I754" t="s">
        <v>7</v>
      </c>
    </row>
    <row r="755" spans="1:9" x14ac:dyDescent="0.3">
      <c r="A755" s="1">
        <v>45453</v>
      </c>
      <c r="B755" s="4">
        <f t="shared" si="33"/>
        <v>2024</v>
      </c>
      <c r="C755" s="4">
        <f t="shared" si="34"/>
        <v>6</v>
      </c>
      <c r="D755" s="2">
        <v>45453.818283310182</v>
      </c>
      <c r="E755" s="4">
        <f t="shared" si="35"/>
        <v>19</v>
      </c>
      <c r="F755" t="s">
        <v>3</v>
      </c>
      <c r="G755" t="s">
        <v>297</v>
      </c>
      <c r="H755" s="3">
        <v>37.72</v>
      </c>
      <c r="I755" t="s">
        <v>7</v>
      </c>
    </row>
    <row r="756" spans="1:9" x14ac:dyDescent="0.3">
      <c r="A756" s="1">
        <v>45454</v>
      </c>
      <c r="B756" s="4">
        <f t="shared" si="33"/>
        <v>2024</v>
      </c>
      <c r="C756" s="4">
        <f t="shared" si="34"/>
        <v>6</v>
      </c>
      <c r="D756" s="2">
        <v>45454.443101307872</v>
      </c>
      <c r="E756" s="4">
        <f t="shared" si="35"/>
        <v>10</v>
      </c>
      <c r="F756" t="s">
        <v>3</v>
      </c>
      <c r="G756" t="s">
        <v>298</v>
      </c>
      <c r="H756" s="3">
        <v>32.82</v>
      </c>
      <c r="I756" t="s">
        <v>14</v>
      </c>
    </row>
    <row r="757" spans="1:9" x14ac:dyDescent="0.3">
      <c r="A757" s="1">
        <v>45454</v>
      </c>
      <c r="B757" s="4">
        <f t="shared" si="33"/>
        <v>2024</v>
      </c>
      <c r="C757" s="4">
        <f t="shared" si="34"/>
        <v>6</v>
      </c>
      <c r="D757" s="2">
        <v>45454.783626064818</v>
      </c>
      <c r="E757" s="4">
        <f t="shared" si="35"/>
        <v>18</v>
      </c>
      <c r="F757" t="s">
        <v>3</v>
      </c>
      <c r="G757" t="s">
        <v>299</v>
      </c>
      <c r="H757" s="3">
        <v>37.72</v>
      </c>
      <c r="I757" t="s">
        <v>7</v>
      </c>
    </row>
    <row r="758" spans="1:9" x14ac:dyDescent="0.3">
      <c r="A758" s="1">
        <v>45454</v>
      </c>
      <c r="B758" s="4">
        <f t="shared" si="33"/>
        <v>2024</v>
      </c>
      <c r="C758" s="4">
        <f t="shared" si="34"/>
        <v>6</v>
      </c>
      <c r="D758" s="2">
        <v>45454.784449398147</v>
      </c>
      <c r="E758" s="4">
        <f t="shared" si="35"/>
        <v>18</v>
      </c>
      <c r="F758" t="s">
        <v>3</v>
      </c>
      <c r="G758" t="s">
        <v>299</v>
      </c>
      <c r="H758" s="3">
        <v>37.72</v>
      </c>
      <c r="I758" t="s">
        <v>7</v>
      </c>
    </row>
    <row r="759" spans="1:9" x14ac:dyDescent="0.3">
      <c r="A759" s="1">
        <v>45454</v>
      </c>
      <c r="B759" s="4">
        <f t="shared" si="33"/>
        <v>2024</v>
      </c>
      <c r="C759" s="4">
        <f t="shared" si="34"/>
        <v>6</v>
      </c>
      <c r="D759" s="2">
        <v>45454.886844259257</v>
      </c>
      <c r="E759" s="4">
        <f t="shared" si="35"/>
        <v>21</v>
      </c>
      <c r="F759" t="s">
        <v>3</v>
      </c>
      <c r="G759" t="s">
        <v>300</v>
      </c>
      <c r="H759" s="3">
        <v>37.72</v>
      </c>
      <c r="I759" t="s">
        <v>9</v>
      </c>
    </row>
    <row r="760" spans="1:9" x14ac:dyDescent="0.3">
      <c r="A760" s="1">
        <v>45454</v>
      </c>
      <c r="B760" s="4">
        <f t="shared" si="33"/>
        <v>2024</v>
      </c>
      <c r="C760" s="4">
        <f t="shared" si="34"/>
        <v>6</v>
      </c>
      <c r="D760" s="2">
        <v>45454.894234953703</v>
      </c>
      <c r="E760" s="4">
        <f t="shared" si="35"/>
        <v>21</v>
      </c>
      <c r="F760" t="s">
        <v>3</v>
      </c>
      <c r="G760" t="s">
        <v>301</v>
      </c>
      <c r="H760" s="3">
        <v>32.82</v>
      </c>
      <c r="I760" t="s">
        <v>14</v>
      </c>
    </row>
    <row r="761" spans="1:9" x14ac:dyDescent="0.3">
      <c r="A761" s="1">
        <v>45454</v>
      </c>
      <c r="B761" s="4">
        <f t="shared" si="33"/>
        <v>2024</v>
      </c>
      <c r="C761" s="4">
        <f t="shared" si="34"/>
        <v>6</v>
      </c>
      <c r="D761" s="2">
        <v>45454.895025694444</v>
      </c>
      <c r="E761" s="4">
        <f t="shared" si="35"/>
        <v>21</v>
      </c>
      <c r="F761" t="s">
        <v>3</v>
      </c>
      <c r="G761" t="s">
        <v>301</v>
      </c>
      <c r="H761" s="3">
        <v>32.82</v>
      </c>
      <c r="I761" t="s">
        <v>14</v>
      </c>
    </row>
    <row r="762" spans="1:9" x14ac:dyDescent="0.3">
      <c r="A762" s="1">
        <v>45455</v>
      </c>
      <c r="B762" s="4">
        <f t="shared" si="33"/>
        <v>2024</v>
      </c>
      <c r="C762" s="4">
        <f t="shared" si="34"/>
        <v>6</v>
      </c>
      <c r="D762" s="2">
        <v>45455.429384097224</v>
      </c>
      <c r="E762" s="4">
        <f t="shared" si="35"/>
        <v>10</v>
      </c>
      <c r="F762" t="s">
        <v>3</v>
      </c>
      <c r="G762" t="s">
        <v>302</v>
      </c>
      <c r="H762" s="3">
        <v>37.72</v>
      </c>
      <c r="I762" t="s">
        <v>9</v>
      </c>
    </row>
    <row r="763" spans="1:9" x14ac:dyDescent="0.3">
      <c r="A763" s="1">
        <v>45455</v>
      </c>
      <c r="B763" s="4">
        <f t="shared" si="33"/>
        <v>2024</v>
      </c>
      <c r="C763" s="4">
        <f t="shared" si="34"/>
        <v>6</v>
      </c>
      <c r="D763" s="2">
        <v>45455.494257615741</v>
      </c>
      <c r="E763" s="4">
        <f t="shared" si="35"/>
        <v>11</v>
      </c>
      <c r="F763" t="s">
        <v>3</v>
      </c>
      <c r="G763" t="s">
        <v>303</v>
      </c>
      <c r="H763" s="3">
        <v>37.72</v>
      </c>
      <c r="I763" t="s">
        <v>43</v>
      </c>
    </row>
    <row r="764" spans="1:9" x14ac:dyDescent="0.3">
      <c r="A764" s="1">
        <v>45455</v>
      </c>
      <c r="B764" s="4">
        <f t="shared" si="33"/>
        <v>2024</v>
      </c>
      <c r="C764" s="4">
        <f t="shared" si="34"/>
        <v>6</v>
      </c>
      <c r="D764" s="2">
        <v>45455.737004386574</v>
      </c>
      <c r="E764" s="4">
        <f t="shared" si="35"/>
        <v>17</v>
      </c>
      <c r="F764" t="s">
        <v>3</v>
      </c>
      <c r="G764" t="s">
        <v>297</v>
      </c>
      <c r="H764" s="3">
        <v>37.72</v>
      </c>
      <c r="I764" t="s">
        <v>7</v>
      </c>
    </row>
    <row r="765" spans="1:9" x14ac:dyDescent="0.3">
      <c r="A765" s="1">
        <v>45455</v>
      </c>
      <c r="B765" s="4">
        <f t="shared" si="33"/>
        <v>2024</v>
      </c>
      <c r="C765" s="4">
        <f t="shared" si="34"/>
        <v>6</v>
      </c>
      <c r="D765" s="2">
        <v>45455.741294884261</v>
      </c>
      <c r="E765" s="4">
        <f t="shared" si="35"/>
        <v>17</v>
      </c>
      <c r="F765" t="s">
        <v>3</v>
      </c>
      <c r="G765" t="s">
        <v>304</v>
      </c>
      <c r="H765" s="3">
        <v>37.72</v>
      </c>
      <c r="I765" t="s">
        <v>7</v>
      </c>
    </row>
    <row r="766" spans="1:9" x14ac:dyDescent="0.3">
      <c r="A766" s="1">
        <v>45455</v>
      </c>
      <c r="B766" s="4">
        <f t="shared" si="33"/>
        <v>2024</v>
      </c>
      <c r="C766" s="4">
        <f t="shared" si="34"/>
        <v>6</v>
      </c>
      <c r="D766" s="2">
        <v>45455.844833888892</v>
      </c>
      <c r="E766" s="4">
        <f t="shared" si="35"/>
        <v>20</v>
      </c>
      <c r="F766" t="s">
        <v>3</v>
      </c>
      <c r="G766" t="s">
        <v>270</v>
      </c>
      <c r="H766" s="3">
        <v>37.72</v>
      </c>
      <c r="I766" t="s">
        <v>9</v>
      </c>
    </row>
    <row r="767" spans="1:9" x14ac:dyDescent="0.3">
      <c r="A767" s="1">
        <v>45455</v>
      </c>
      <c r="B767" s="4">
        <f t="shared" si="33"/>
        <v>2024</v>
      </c>
      <c r="C767" s="4">
        <f t="shared" si="34"/>
        <v>6</v>
      </c>
      <c r="D767" s="2">
        <v>45455.851090729164</v>
      </c>
      <c r="E767" s="4">
        <f t="shared" si="35"/>
        <v>20</v>
      </c>
      <c r="F767" t="s">
        <v>3</v>
      </c>
      <c r="G767" t="s">
        <v>305</v>
      </c>
      <c r="H767" s="3">
        <v>32.82</v>
      </c>
      <c r="I767" t="s">
        <v>14</v>
      </c>
    </row>
    <row r="768" spans="1:9" x14ac:dyDescent="0.3">
      <c r="A768" s="1">
        <v>45456</v>
      </c>
      <c r="B768" s="4">
        <f t="shared" si="33"/>
        <v>2024</v>
      </c>
      <c r="C768" s="4">
        <f t="shared" si="34"/>
        <v>6</v>
      </c>
      <c r="D768" s="2">
        <v>45456.371113506946</v>
      </c>
      <c r="E768" s="4">
        <f t="shared" si="35"/>
        <v>8</v>
      </c>
      <c r="F768" t="s">
        <v>3</v>
      </c>
      <c r="G768" t="s">
        <v>306</v>
      </c>
      <c r="H768" s="3">
        <v>27.92</v>
      </c>
      <c r="I768" t="s">
        <v>11</v>
      </c>
    </row>
    <row r="769" spans="1:9" x14ac:dyDescent="0.3">
      <c r="A769" s="1">
        <v>45456</v>
      </c>
      <c r="B769" s="4">
        <f t="shared" ref="B769:B832" si="36">YEAR(A769)</f>
        <v>2024</v>
      </c>
      <c r="C769" s="4">
        <f t="shared" ref="C769:C832" si="37">MONTH(A769)</f>
        <v>6</v>
      </c>
      <c r="D769" s="2">
        <v>45456.37321287037</v>
      </c>
      <c r="E769" s="4">
        <f t="shared" ref="E769:E832" si="38">HOUR(D769)</f>
        <v>8</v>
      </c>
      <c r="F769" t="s">
        <v>3</v>
      </c>
      <c r="G769" t="s">
        <v>111</v>
      </c>
      <c r="H769" s="3">
        <v>37.72</v>
      </c>
      <c r="I769" t="s">
        <v>7</v>
      </c>
    </row>
    <row r="770" spans="1:9" x14ac:dyDescent="0.3">
      <c r="A770" s="1">
        <v>45456</v>
      </c>
      <c r="B770" s="4">
        <f t="shared" si="36"/>
        <v>2024</v>
      </c>
      <c r="C770" s="4">
        <f t="shared" si="37"/>
        <v>6</v>
      </c>
      <c r="D770" s="2">
        <v>45456.41001201389</v>
      </c>
      <c r="E770" s="4">
        <f t="shared" si="38"/>
        <v>9</v>
      </c>
      <c r="F770" t="s">
        <v>3</v>
      </c>
      <c r="G770" t="s">
        <v>307</v>
      </c>
      <c r="H770" s="3">
        <v>32.82</v>
      </c>
      <c r="I770" t="s">
        <v>14</v>
      </c>
    </row>
    <row r="771" spans="1:9" x14ac:dyDescent="0.3">
      <c r="A771" s="1">
        <v>45456</v>
      </c>
      <c r="B771" s="4">
        <f t="shared" si="36"/>
        <v>2024</v>
      </c>
      <c r="C771" s="4">
        <f t="shared" si="37"/>
        <v>6</v>
      </c>
      <c r="D771" s="2">
        <v>45456.414716643521</v>
      </c>
      <c r="E771" s="4">
        <f t="shared" si="38"/>
        <v>9</v>
      </c>
      <c r="F771" t="s">
        <v>3</v>
      </c>
      <c r="G771" t="s">
        <v>155</v>
      </c>
      <c r="H771" s="3">
        <v>27.92</v>
      </c>
      <c r="I771" t="s">
        <v>28</v>
      </c>
    </row>
    <row r="772" spans="1:9" x14ac:dyDescent="0.3">
      <c r="A772" s="1">
        <v>45456</v>
      </c>
      <c r="B772" s="4">
        <f t="shared" si="36"/>
        <v>2024</v>
      </c>
      <c r="C772" s="4">
        <f t="shared" si="37"/>
        <v>6</v>
      </c>
      <c r="D772" s="2">
        <v>45456.711789363428</v>
      </c>
      <c r="E772" s="4">
        <f t="shared" si="38"/>
        <v>17</v>
      </c>
      <c r="F772" t="s">
        <v>3</v>
      </c>
      <c r="G772" t="s">
        <v>308</v>
      </c>
      <c r="H772" s="3">
        <v>32.82</v>
      </c>
      <c r="I772" t="s">
        <v>14</v>
      </c>
    </row>
    <row r="773" spans="1:9" x14ac:dyDescent="0.3">
      <c r="A773" s="1">
        <v>45456</v>
      </c>
      <c r="B773" s="4">
        <f t="shared" si="36"/>
        <v>2024</v>
      </c>
      <c r="C773" s="4">
        <f t="shared" si="37"/>
        <v>6</v>
      </c>
      <c r="D773" s="2">
        <v>45456.727622986109</v>
      </c>
      <c r="E773" s="4">
        <f t="shared" si="38"/>
        <v>17</v>
      </c>
      <c r="F773" t="s">
        <v>3</v>
      </c>
      <c r="G773" t="s">
        <v>309</v>
      </c>
      <c r="H773" s="3">
        <v>37.72</v>
      </c>
      <c r="I773" t="s">
        <v>9</v>
      </c>
    </row>
    <row r="774" spans="1:9" x14ac:dyDescent="0.3">
      <c r="A774" s="1">
        <v>45456</v>
      </c>
      <c r="B774" s="4">
        <f t="shared" si="36"/>
        <v>2024</v>
      </c>
      <c r="C774" s="4">
        <f t="shared" si="37"/>
        <v>6</v>
      </c>
      <c r="D774" s="2">
        <v>45456.807165312501</v>
      </c>
      <c r="E774" s="4">
        <f t="shared" si="38"/>
        <v>19</v>
      </c>
      <c r="F774" t="s">
        <v>3</v>
      </c>
      <c r="G774" t="s">
        <v>310</v>
      </c>
      <c r="H774" s="3">
        <v>37.72</v>
      </c>
      <c r="I774" t="s">
        <v>7</v>
      </c>
    </row>
    <row r="775" spans="1:9" x14ac:dyDescent="0.3">
      <c r="A775" s="1">
        <v>45456</v>
      </c>
      <c r="B775" s="4">
        <f t="shared" si="36"/>
        <v>2024</v>
      </c>
      <c r="C775" s="4">
        <f t="shared" si="37"/>
        <v>6</v>
      </c>
      <c r="D775" s="2">
        <v>45456.847821319447</v>
      </c>
      <c r="E775" s="4">
        <f t="shared" si="38"/>
        <v>20</v>
      </c>
      <c r="F775" t="s">
        <v>3</v>
      </c>
      <c r="G775" t="s">
        <v>23</v>
      </c>
      <c r="H775" s="3">
        <v>32.82</v>
      </c>
      <c r="I775" t="s">
        <v>14</v>
      </c>
    </row>
    <row r="776" spans="1:9" x14ac:dyDescent="0.3">
      <c r="A776" s="1">
        <v>45456</v>
      </c>
      <c r="B776" s="4">
        <f t="shared" si="36"/>
        <v>2024</v>
      </c>
      <c r="C776" s="4">
        <f t="shared" si="37"/>
        <v>6</v>
      </c>
      <c r="D776" s="2">
        <v>45456.863726747688</v>
      </c>
      <c r="E776" s="4">
        <f t="shared" si="38"/>
        <v>20</v>
      </c>
      <c r="F776" t="s">
        <v>3</v>
      </c>
      <c r="G776" t="s">
        <v>23</v>
      </c>
      <c r="H776" s="3">
        <v>23.02</v>
      </c>
      <c r="I776" t="s">
        <v>35</v>
      </c>
    </row>
    <row r="777" spans="1:9" x14ac:dyDescent="0.3">
      <c r="A777" s="1">
        <v>45456</v>
      </c>
      <c r="B777" s="4">
        <f t="shared" si="36"/>
        <v>2024</v>
      </c>
      <c r="C777" s="4">
        <f t="shared" si="37"/>
        <v>6</v>
      </c>
      <c r="D777" s="2">
        <v>45456.864590451391</v>
      </c>
      <c r="E777" s="4">
        <f t="shared" si="38"/>
        <v>20</v>
      </c>
      <c r="F777" t="s">
        <v>3</v>
      </c>
      <c r="G777" t="s">
        <v>309</v>
      </c>
      <c r="H777" s="3">
        <v>23.02</v>
      </c>
      <c r="I777" t="s">
        <v>35</v>
      </c>
    </row>
    <row r="778" spans="1:9" x14ac:dyDescent="0.3">
      <c r="A778" s="1">
        <v>45456</v>
      </c>
      <c r="B778" s="4">
        <f t="shared" si="36"/>
        <v>2024</v>
      </c>
      <c r="C778" s="4">
        <f t="shared" si="37"/>
        <v>6</v>
      </c>
      <c r="D778" s="2">
        <v>45456.866873865743</v>
      </c>
      <c r="E778" s="4">
        <f t="shared" si="38"/>
        <v>20</v>
      </c>
      <c r="F778" t="s">
        <v>3</v>
      </c>
      <c r="G778" t="s">
        <v>19</v>
      </c>
      <c r="H778" s="3">
        <v>32.82</v>
      </c>
      <c r="I778" t="s">
        <v>14</v>
      </c>
    </row>
    <row r="779" spans="1:9" x14ac:dyDescent="0.3">
      <c r="A779" s="1">
        <v>45456</v>
      </c>
      <c r="B779" s="4">
        <f t="shared" si="36"/>
        <v>2024</v>
      </c>
      <c r="C779" s="4">
        <f t="shared" si="37"/>
        <v>6</v>
      </c>
      <c r="D779" s="2">
        <v>45456.876717326391</v>
      </c>
      <c r="E779" s="4">
        <f t="shared" si="38"/>
        <v>21</v>
      </c>
      <c r="F779" t="s">
        <v>3</v>
      </c>
      <c r="G779" t="s">
        <v>19</v>
      </c>
      <c r="H779" s="3">
        <v>32.82</v>
      </c>
      <c r="I779" t="s">
        <v>14</v>
      </c>
    </row>
    <row r="780" spans="1:9" x14ac:dyDescent="0.3">
      <c r="A780" s="1">
        <v>45457</v>
      </c>
      <c r="B780" s="4">
        <f t="shared" si="36"/>
        <v>2024</v>
      </c>
      <c r="C780" s="4">
        <f t="shared" si="37"/>
        <v>6</v>
      </c>
      <c r="D780" s="2">
        <v>45457.323764328707</v>
      </c>
      <c r="E780" s="4">
        <f t="shared" si="38"/>
        <v>7</v>
      </c>
      <c r="F780" t="s">
        <v>3</v>
      </c>
      <c r="G780" t="s">
        <v>155</v>
      </c>
      <c r="H780" s="3">
        <v>27.92</v>
      </c>
      <c r="I780" t="s">
        <v>28</v>
      </c>
    </row>
    <row r="781" spans="1:9" x14ac:dyDescent="0.3">
      <c r="A781" s="1">
        <v>45457</v>
      </c>
      <c r="B781" s="4">
        <f t="shared" si="36"/>
        <v>2024</v>
      </c>
      <c r="C781" s="4">
        <f t="shared" si="37"/>
        <v>6</v>
      </c>
      <c r="D781" s="2">
        <v>45457.437865555556</v>
      </c>
      <c r="E781" s="4">
        <f t="shared" si="38"/>
        <v>10</v>
      </c>
      <c r="F781" t="s">
        <v>3</v>
      </c>
      <c r="G781" t="s">
        <v>311</v>
      </c>
      <c r="H781" s="3">
        <v>27.92</v>
      </c>
      <c r="I781" t="s">
        <v>11</v>
      </c>
    </row>
    <row r="782" spans="1:9" x14ac:dyDescent="0.3">
      <c r="A782" s="1">
        <v>45457</v>
      </c>
      <c r="B782" s="4">
        <f t="shared" si="36"/>
        <v>2024</v>
      </c>
      <c r="C782" s="4">
        <f t="shared" si="37"/>
        <v>6</v>
      </c>
      <c r="D782" s="2">
        <v>45457.510204814818</v>
      </c>
      <c r="E782" s="4">
        <f t="shared" si="38"/>
        <v>12</v>
      </c>
      <c r="F782" t="s">
        <v>3</v>
      </c>
      <c r="G782" t="s">
        <v>111</v>
      </c>
      <c r="H782" s="3">
        <v>37.72</v>
      </c>
      <c r="I782" t="s">
        <v>7</v>
      </c>
    </row>
    <row r="783" spans="1:9" x14ac:dyDescent="0.3">
      <c r="A783" s="1">
        <v>45457</v>
      </c>
      <c r="B783" s="4">
        <f t="shared" si="36"/>
        <v>2024</v>
      </c>
      <c r="C783" s="4">
        <f t="shared" si="37"/>
        <v>6</v>
      </c>
      <c r="D783" s="2">
        <v>45457.77075693287</v>
      </c>
      <c r="E783" s="4">
        <f t="shared" si="38"/>
        <v>18</v>
      </c>
      <c r="F783" t="s">
        <v>3</v>
      </c>
      <c r="G783" t="s">
        <v>312</v>
      </c>
      <c r="H783" s="3">
        <v>32.82</v>
      </c>
      <c r="I783" t="s">
        <v>14</v>
      </c>
    </row>
    <row r="784" spans="1:9" x14ac:dyDescent="0.3">
      <c r="A784" s="1">
        <v>45458</v>
      </c>
      <c r="B784" s="4">
        <f t="shared" si="36"/>
        <v>2024</v>
      </c>
      <c r="C784" s="4">
        <f t="shared" si="37"/>
        <v>6</v>
      </c>
      <c r="D784" s="2">
        <v>45458.476411736112</v>
      </c>
      <c r="E784" s="4">
        <f t="shared" si="38"/>
        <v>11</v>
      </c>
      <c r="F784" t="s">
        <v>3</v>
      </c>
      <c r="G784" t="s">
        <v>313</v>
      </c>
      <c r="H784" s="3">
        <v>37.72</v>
      </c>
      <c r="I784" t="s">
        <v>43</v>
      </c>
    </row>
    <row r="785" spans="1:9" x14ac:dyDescent="0.3">
      <c r="A785" s="1">
        <v>45458</v>
      </c>
      <c r="B785" s="4">
        <f t="shared" si="36"/>
        <v>2024</v>
      </c>
      <c r="C785" s="4">
        <f t="shared" si="37"/>
        <v>6</v>
      </c>
      <c r="D785" s="2">
        <v>45458.514908969904</v>
      </c>
      <c r="E785" s="4">
        <f t="shared" si="38"/>
        <v>12</v>
      </c>
      <c r="F785" t="s">
        <v>3</v>
      </c>
      <c r="G785" t="s">
        <v>314</v>
      </c>
      <c r="H785" s="3">
        <v>37.72</v>
      </c>
      <c r="I785" t="s">
        <v>7</v>
      </c>
    </row>
    <row r="786" spans="1:9" x14ac:dyDescent="0.3">
      <c r="A786" s="1">
        <v>45458</v>
      </c>
      <c r="B786" s="4">
        <f t="shared" si="36"/>
        <v>2024</v>
      </c>
      <c r="C786" s="4">
        <f t="shared" si="37"/>
        <v>6</v>
      </c>
      <c r="D786" s="2">
        <v>45458.51582108796</v>
      </c>
      <c r="E786" s="4">
        <f t="shared" si="38"/>
        <v>12</v>
      </c>
      <c r="F786" t="s">
        <v>3</v>
      </c>
      <c r="G786" t="s">
        <v>314</v>
      </c>
      <c r="H786" s="3">
        <v>32.82</v>
      </c>
      <c r="I786" t="s">
        <v>14</v>
      </c>
    </row>
    <row r="787" spans="1:9" x14ac:dyDescent="0.3">
      <c r="A787" s="1">
        <v>45458</v>
      </c>
      <c r="B787" s="4">
        <f t="shared" si="36"/>
        <v>2024</v>
      </c>
      <c r="C787" s="4">
        <f t="shared" si="37"/>
        <v>6</v>
      </c>
      <c r="D787" s="2">
        <v>45458.516575995367</v>
      </c>
      <c r="E787" s="4">
        <f t="shared" si="38"/>
        <v>12</v>
      </c>
      <c r="F787" t="s">
        <v>3</v>
      </c>
      <c r="G787" t="s">
        <v>314</v>
      </c>
      <c r="H787" s="3">
        <v>23.02</v>
      </c>
      <c r="I787" t="s">
        <v>35</v>
      </c>
    </row>
    <row r="788" spans="1:9" x14ac:dyDescent="0.3">
      <c r="A788" s="1">
        <v>45458</v>
      </c>
      <c r="B788" s="4">
        <f t="shared" si="36"/>
        <v>2024</v>
      </c>
      <c r="C788" s="4">
        <f t="shared" si="37"/>
        <v>6</v>
      </c>
      <c r="D788" s="2">
        <v>45458.517073263887</v>
      </c>
      <c r="E788" s="4">
        <f t="shared" si="38"/>
        <v>12</v>
      </c>
      <c r="F788" t="s">
        <v>3</v>
      </c>
      <c r="G788" t="s">
        <v>314</v>
      </c>
      <c r="H788" s="3">
        <v>37.72</v>
      </c>
      <c r="I788" t="s">
        <v>18</v>
      </c>
    </row>
    <row r="789" spans="1:9" x14ac:dyDescent="0.3">
      <c r="A789" s="1">
        <v>45458</v>
      </c>
      <c r="B789" s="4">
        <f t="shared" si="36"/>
        <v>2024</v>
      </c>
      <c r="C789" s="4">
        <f t="shared" si="37"/>
        <v>6</v>
      </c>
      <c r="D789" s="2">
        <v>45458.517638425925</v>
      </c>
      <c r="E789" s="4">
        <f t="shared" si="38"/>
        <v>12</v>
      </c>
      <c r="F789" t="s">
        <v>3</v>
      </c>
      <c r="G789" t="s">
        <v>314</v>
      </c>
      <c r="H789" s="3">
        <v>32.82</v>
      </c>
      <c r="I789" t="s">
        <v>14</v>
      </c>
    </row>
    <row r="790" spans="1:9" x14ac:dyDescent="0.3">
      <c r="A790" s="1">
        <v>45458</v>
      </c>
      <c r="B790" s="4">
        <f t="shared" si="36"/>
        <v>2024</v>
      </c>
      <c r="C790" s="4">
        <f t="shared" si="37"/>
        <v>6</v>
      </c>
      <c r="D790" s="2">
        <v>45458.669096168982</v>
      </c>
      <c r="E790" s="4">
        <f t="shared" si="38"/>
        <v>16</v>
      </c>
      <c r="F790" t="s">
        <v>3</v>
      </c>
      <c r="G790" t="s">
        <v>315</v>
      </c>
      <c r="H790" s="3">
        <v>32.82</v>
      </c>
      <c r="I790" t="s">
        <v>14</v>
      </c>
    </row>
    <row r="791" spans="1:9" x14ac:dyDescent="0.3">
      <c r="A791" s="1">
        <v>45458</v>
      </c>
      <c r="B791" s="4">
        <f t="shared" si="36"/>
        <v>2024</v>
      </c>
      <c r="C791" s="4">
        <f t="shared" si="37"/>
        <v>6</v>
      </c>
      <c r="D791" s="2">
        <v>45458.759775729166</v>
      </c>
      <c r="E791" s="4">
        <f t="shared" si="38"/>
        <v>18</v>
      </c>
      <c r="F791" t="s">
        <v>3</v>
      </c>
      <c r="G791" t="s">
        <v>316</v>
      </c>
      <c r="H791" s="3">
        <v>27.92</v>
      </c>
      <c r="I791" t="s">
        <v>11</v>
      </c>
    </row>
    <row r="792" spans="1:9" x14ac:dyDescent="0.3">
      <c r="A792" s="1">
        <v>45459</v>
      </c>
      <c r="B792" s="4">
        <f t="shared" si="36"/>
        <v>2024</v>
      </c>
      <c r="C792" s="4">
        <f t="shared" si="37"/>
        <v>6</v>
      </c>
      <c r="D792" s="2">
        <v>45459.447123333332</v>
      </c>
      <c r="E792" s="4">
        <f t="shared" si="38"/>
        <v>10</v>
      </c>
      <c r="F792" t="s">
        <v>3</v>
      </c>
      <c r="G792" t="s">
        <v>73</v>
      </c>
      <c r="H792" s="3">
        <v>32.82</v>
      </c>
      <c r="I792" t="s">
        <v>14</v>
      </c>
    </row>
    <row r="793" spans="1:9" x14ac:dyDescent="0.3">
      <c r="A793" s="1">
        <v>45459</v>
      </c>
      <c r="B793" s="4">
        <f t="shared" si="36"/>
        <v>2024</v>
      </c>
      <c r="C793" s="4">
        <f t="shared" si="37"/>
        <v>6</v>
      </c>
      <c r="D793" s="2">
        <v>45459.457423217595</v>
      </c>
      <c r="E793" s="4">
        <f t="shared" si="38"/>
        <v>10</v>
      </c>
      <c r="F793" t="s">
        <v>3</v>
      </c>
      <c r="G793" t="s">
        <v>317</v>
      </c>
      <c r="H793" s="3">
        <v>37.72</v>
      </c>
      <c r="I793" t="s">
        <v>7</v>
      </c>
    </row>
    <row r="794" spans="1:9" x14ac:dyDescent="0.3">
      <c r="A794" s="1">
        <v>45459</v>
      </c>
      <c r="B794" s="4">
        <f t="shared" si="36"/>
        <v>2024</v>
      </c>
      <c r="C794" s="4">
        <f t="shared" si="37"/>
        <v>6</v>
      </c>
      <c r="D794" s="2">
        <v>45459.458775358798</v>
      </c>
      <c r="E794" s="4">
        <f t="shared" si="38"/>
        <v>11</v>
      </c>
      <c r="F794" t="s">
        <v>3</v>
      </c>
      <c r="G794" t="s">
        <v>317</v>
      </c>
      <c r="H794" s="3">
        <v>37.72</v>
      </c>
      <c r="I794" t="s">
        <v>9</v>
      </c>
    </row>
    <row r="795" spans="1:9" x14ac:dyDescent="0.3">
      <c r="A795" s="1">
        <v>45459</v>
      </c>
      <c r="B795" s="4">
        <f t="shared" si="36"/>
        <v>2024</v>
      </c>
      <c r="C795" s="4">
        <f t="shared" si="37"/>
        <v>6</v>
      </c>
      <c r="D795" s="2">
        <v>45459.459507962965</v>
      </c>
      <c r="E795" s="4">
        <f t="shared" si="38"/>
        <v>11</v>
      </c>
      <c r="F795" t="s">
        <v>3</v>
      </c>
      <c r="G795" t="s">
        <v>317</v>
      </c>
      <c r="H795" s="3">
        <v>37.72</v>
      </c>
      <c r="I795" t="s">
        <v>9</v>
      </c>
    </row>
    <row r="796" spans="1:9" x14ac:dyDescent="0.3">
      <c r="A796" s="1">
        <v>45459</v>
      </c>
      <c r="B796" s="4">
        <f t="shared" si="36"/>
        <v>2024</v>
      </c>
      <c r="C796" s="4">
        <f t="shared" si="37"/>
        <v>6</v>
      </c>
      <c r="D796" s="2">
        <v>45459.534347499997</v>
      </c>
      <c r="E796" s="4">
        <f t="shared" si="38"/>
        <v>12</v>
      </c>
      <c r="F796" t="s">
        <v>3</v>
      </c>
      <c r="G796" t="s">
        <v>290</v>
      </c>
      <c r="H796" s="3">
        <v>32.82</v>
      </c>
      <c r="I796" t="s">
        <v>14</v>
      </c>
    </row>
    <row r="797" spans="1:9" x14ac:dyDescent="0.3">
      <c r="A797" s="1">
        <v>45459</v>
      </c>
      <c r="B797" s="4">
        <f t="shared" si="36"/>
        <v>2024</v>
      </c>
      <c r="C797" s="4">
        <f t="shared" si="37"/>
        <v>6</v>
      </c>
      <c r="D797" s="2">
        <v>45459.583784629627</v>
      </c>
      <c r="E797" s="4">
        <f t="shared" si="38"/>
        <v>14</v>
      </c>
      <c r="F797" t="s">
        <v>3</v>
      </c>
      <c r="G797" t="s">
        <v>288</v>
      </c>
      <c r="H797" s="3">
        <v>23.02</v>
      </c>
      <c r="I797" t="s">
        <v>35</v>
      </c>
    </row>
    <row r="798" spans="1:9" x14ac:dyDescent="0.3">
      <c r="A798" s="1">
        <v>45459</v>
      </c>
      <c r="B798" s="4">
        <f t="shared" si="36"/>
        <v>2024</v>
      </c>
      <c r="C798" s="4">
        <f t="shared" si="37"/>
        <v>6</v>
      </c>
      <c r="D798" s="2">
        <v>45459.626809398149</v>
      </c>
      <c r="E798" s="4">
        <f t="shared" si="38"/>
        <v>15</v>
      </c>
      <c r="F798" t="s">
        <v>3</v>
      </c>
      <c r="G798" t="s">
        <v>318</v>
      </c>
      <c r="H798" s="3">
        <v>32.82</v>
      </c>
      <c r="I798" t="s">
        <v>14</v>
      </c>
    </row>
    <row r="799" spans="1:9" x14ac:dyDescent="0.3">
      <c r="A799" s="1">
        <v>45459</v>
      </c>
      <c r="B799" s="4">
        <f t="shared" si="36"/>
        <v>2024</v>
      </c>
      <c r="C799" s="4">
        <f t="shared" si="37"/>
        <v>6</v>
      </c>
      <c r="D799" s="2">
        <v>45459.628592835645</v>
      </c>
      <c r="E799" s="4">
        <f t="shared" si="38"/>
        <v>15</v>
      </c>
      <c r="F799" t="s">
        <v>3</v>
      </c>
      <c r="G799" t="s">
        <v>318</v>
      </c>
      <c r="H799" s="3">
        <v>32.82</v>
      </c>
      <c r="I799" t="s">
        <v>14</v>
      </c>
    </row>
    <row r="800" spans="1:9" x14ac:dyDescent="0.3">
      <c r="A800" s="1">
        <v>45459</v>
      </c>
      <c r="B800" s="4">
        <f t="shared" si="36"/>
        <v>2024</v>
      </c>
      <c r="C800" s="4">
        <f t="shared" si="37"/>
        <v>6</v>
      </c>
      <c r="D800" s="2">
        <v>45459.655550844909</v>
      </c>
      <c r="E800" s="4">
        <f t="shared" si="38"/>
        <v>15</v>
      </c>
      <c r="F800" t="s">
        <v>3</v>
      </c>
      <c r="G800" t="s">
        <v>319</v>
      </c>
      <c r="H800" s="3">
        <v>37.72</v>
      </c>
      <c r="I800" t="s">
        <v>9</v>
      </c>
    </row>
    <row r="801" spans="1:9" x14ac:dyDescent="0.3">
      <c r="A801" s="1">
        <v>45459</v>
      </c>
      <c r="B801" s="4">
        <f t="shared" si="36"/>
        <v>2024</v>
      </c>
      <c r="C801" s="4">
        <f t="shared" si="37"/>
        <v>6</v>
      </c>
      <c r="D801" s="2">
        <v>45459.699728252315</v>
      </c>
      <c r="E801" s="4">
        <f t="shared" si="38"/>
        <v>16</v>
      </c>
      <c r="F801" t="s">
        <v>3</v>
      </c>
      <c r="G801" t="s">
        <v>320</v>
      </c>
      <c r="H801" s="3">
        <v>37.72</v>
      </c>
      <c r="I801" t="s">
        <v>9</v>
      </c>
    </row>
    <row r="802" spans="1:9" x14ac:dyDescent="0.3">
      <c r="A802" s="1">
        <v>45459</v>
      </c>
      <c r="B802" s="4">
        <f t="shared" si="36"/>
        <v>2024</v>
      </c>
      <c r="C802" s="4">
        <f t="shared" si="37"/>
        <v>6</v>
      </c>
      <c r="D802" s="2">
        <v>45459.739783182871</v>
      </c>
      <c r="E802" s="4">
        <f t="shared" si="38"/>
        <v>17</v>
      </c>
      <c r="F802" t="s">
        <v>3</v>
      </c>
      <c r="G802" t="s">
        <v>73</v>
      </c>
      <c r="H802" s="3">
        <v>32.82</v>
      </c>
      <c r="I802" t="s">
        <v>14</v>
      </c>
    </row>
    <row r="803" spans="1:9" x14ac:dyDescent="0.3">
      <c r="A803" s="1">
        <v>45459</v>
      </c>
      <c r="B803" s="4">
        <f t="shared" si="36"/>
        <v>2024</v>
      </c>
      <c r="C803" s="4">
        <f t="shared" si="37"/>
        <v>6</v>
      </c>
      <c r="D803" s="2">
        <v>45459.740469375</v>
      </c>
      <c r="E803" s="4">
        <f t="shared" si="38"/>
        <v>17</v>
      </c>
      <c r="F803" t="s">
        <v>3</v>
      </c>
      <c r="G803" t="s">
        <v>73</v>
      </c>
      <c r="H803" s="3">
        <v>32.82</v>
      </c>
      <c r="I803" t="s">
        <v>14</v>
      </c>
    </row>
    <row r="804" spans="1:9" x14ac:dyDescent="0.3">
      <c r="A804" s="1">
        <v>45460</v>
      </c>
      <c r="B804" s="4">
        <f t="shared" si="36"/>
        <v>2024</v>
      </c>
      <c r="C804" s="4">
        <f t="shared" si="37"/>
        <v>6</v>
      </c>
      <c r="D804" s="2">
        <v>45460.373194953703</v>
      </c>
      <c r="E804" s="4">
        <f t="shared" si="38"/>
        <v>8</v>
      </c>
      <c r="F804" t="s">
        <v>3</v>
      </c>
      <c r="G804" t="s">
        <v>321</v>
      </c>
      <c r="H804" s="3">
        <v>27.92</v>
      </c>
      <c r="I804" t="s">
        <v>11</v>
      </c>
    </row>
    <row r="805" spans="1:9" x14ac:dyDescent="0.3">
      <c r="A805" s="1">
        <v>45460</v>
      </c>
      <c r="B805" s="4">
        <f t="shared" si="36"/>
        <v>2024</v>
      </c>
      <c r="C805" s="4">
        <f t="shared" si="37"/>
        <v>6</v>
      </c>
      <c r="D805" s="2">
        <v>45460.425059479167</v>
      </c>
      <c r="E805" s="4">
        <f t="shared" si="38"/>
        <v>10</v>
      </c>
      <c r="F805" t="s">
        <v>3</v>
      </c>
      <c r="G805" t="s">
        <v>322</v>
      </c>
      <c r="H805" s="3">
        <v>27.92</v>
      </c>
      <c r="I805" t="s">
        <v>28</v>
      </c>
    </row>
    <row r="806" spans="1:9" x14ac:dyDescent="0.3">
      <c r="A806" s="1">
        <v>45460</v>
      </c>
      <c r="B806" s="4">
        <f t="shared" si="36"/>
        <v>2024</v>
      </c>
      <c r="C806" s="4">
        <f t="shared" si="37"/>
        <v>6</v>
      </c>
      <c r="D806" s="2">
        <v>45460.426129340274</v>
      </c>
      <c r="E806" s="4">
        <f t="shared" si="38"/>
        <v>10</v>
      </c>
      <c r="F806" t="s">
        <v>3</v>
      </c>
      <c r="G806" t="s">
        <v>322</v>
      </c>
      <c r="H806" s="3">
        <v>27.92</v>
      </c>
      <c r="I806" t="s">
        <v>28</v>
      </c>
    </row>
    <row r="807" spans="1:9" x14ac:dyDescent="0.3">
      <c r="A807" s="1">
        <v>45460</v>
      </c>
      <c r="B807" s="4">
        <f t="shared" si="36"/>
        <v>2024</v>
      </c>
      <c r="C807" s="4">
        <f t="shared" si="37"/>
        <v>6</v>
      </c>
      <c r="D807" s="2">
        <v>45460.455458425924</v>
      </c>
      <c r="E807" s="4">
        <f t="shared" si="38"/>
        <v>10</v>
      </c>
      <c r="F807" t="s">
        <v>3</v>
      </c>
      <c r="G807" t="s">
        <v>56</v>
      </c>
      <c r="H807" s="3">
        <v>37.72</v>
      </c>
      <c r="I807" t="s">
        <v>43</v>
      </c>
    </row>
    <row r="808" spans="1:9" x14ac:dyDescent="0.3">
      <c r="A808" s="1">
        <v>45460</v>
      </c>
      <c r="B808" s="4">
        <f t="shared" si="36"/>
        <v>2024</v>
      </c>
      <c r="C808" s="4">
        <f t="shared" si="37"/>
        <v>6</v>
      </c>
      <c r="D808" s="2">
        <v>45460.619159502312</v>
      </c>
      <c r="E808" s="4">
        <f t="shared" si="38"/>
        <v>14</v>
      </c>
      <c r="F808" t="s">
        <v>3</v>
      </c>
      <c r="G808" t="s">
        <v>178</v>
      </c>
      <c r="H808" s="3">
        <v>37.72</v>
      </c>
      <c r="I808" t="s">
        <v>43</v>
      </c>
    </row>
    <row r="809" spans="1:9" x14ac:dyDescent="0.3">
      <c r="A809" s="1">
        <v>45460</v>
      </c>
      <c r="B809" s="4">
        <f t="shared" si="36"/>
        <v>2024</v>
      </c>
      <c r="C809" s="4">
        <f t="shared" si="37"/>
        <v>6</v>
      </c>
      <c r="D809" s="2">
        <v>45460.701544456017</v>
      </c>
      <c r="E809" s="4">
        <f t="shared" si="38"/>
        <v>16</v>
      </c>
      <c r="F809" t="s">
        <v>3</v>
      </c>
      <c r="G809" t="s">
        <v>23</v>
      </c>
      <c r="H809" s="3">
        <v>37.72</v>
      </c>
      <c r="I809" t="s">
        <v>43</v>
      </c>
    </row>
    <row r="810" spans="1:9" x14ac:dyDescent="0.3">
      <c r="A810" s="1">
        <v>45460</v>
      </c>
      <c r="B810" s="4">
        <f t="shared" si="36"/>
        <v>2024</v>
      </c>
      <c r="C810" s="4">
        <f t="shared" si="37"/>
        <v>6</v>
      </c>
      <c r="D810" s="2">
        <v>45460.702211087962</v>
      </c>
      <c r="E810" s="4">
        <f t="shared" si="38"/>
        <v>16</v>
      </c>
      <c r="F810" t="s">
        <v>3</v>
      </c>
      <c r="G810" t="s">
        <v>23</v>
      </c>
      <c r="H810" s="3">
        <v>37.72</v>
      </c>
      <c r="I810" t="s">
        <v>43</v>
      </c>
    </row>
    <row r="811" spans="1:9" x14ac:dyDescent="0.3">
      <c r="A811" s="1">
        <v>45460</v>
      </c>
      <c r="B811" s="4">
        <f t="shared" si="36"/>
        <v>2024</v>
      </c>
      <c r="C811" s="4">
        <f t="shared" si="37"/>
        <v>6</v>
      </c>
      <c r="D811" s="2">
        <v>45460.703198333336</v>
      </c>
      <c r="E811" s="4">
        <f t="shared" si="38"/>
        <v>16</v>
      </c>
      <c r="F811" t="s">
        <v>3</v>
      </c>
      <c r="G811" t="s">
        <v>23</v>
      </c>
      <c r="H811" s="3">
        <v>27.92</v>
      </c>
      <c r="I811" t="s">
        <v>11</v>
      </c>
    </row>
    <row r="812" spans="1:9" x14ac:dyDescent="0.3">
      <c r="A812" s="1">
        <v>45460</v>
      </c>
      <c r="B812" s="4">
        <f t="shared" si="36"/>
        <v>2024</v>
      </c>
      <c r="C812" s="4">
        <f t="shared" si="37"/>
        <v>6</v>
      </c>
      <c r="D812" s="2">
        <v>45460.785643877316</v>
      </c>
      <c r="E812" s="4">
        <f t="shared" si="38"/>
        <v>18</v>
      </c>
      <c r="F812" t="s">
        <v>3</v>
      </c>
      <c r="G812" t="s">
        <v>323</v>
      </c>
      <c r="H812" s="3">
        <v>27.92</v>
      </c>
      <c r="I812" t="s">
        <v>11</v>
      </c>
    </row>
    <row r="813" spans="1:9" x14ac:dyDescent="0.3">
      <c r="A813" s="1">
        <v>45460</v>
      </c>
      <c r="B813" s="4">
        <f t="shared" si="36"/>
        <v>2024</v>
      </c>
      <c r="C813" s="4">
        <f t="shared" si="37"/>
        <v>6</v>
      </c>
      <c r="D813" s="2">
        <v>45460.88624403935</v>
      </c>
      <c r="E813" s="4">
        <f t="shared" si="38"/>
        <v>21</v>
      </c>
      <c r="F813" t="s">
        <v>3</v>
      </c>
      <c r="G813" t="s">
        <v>19</v>
      </c>
      <c r="H813" s="3">
        <v>32.82</v>
      </c>
      <c r="I813" t="s">
        <v>14</v>
      </c>
    </row>
    <row r="814" spans="1:9" x14ac:dyDescent="0.3">
      <c r="A814" s="1">
        <v>45461</v>
      </c>
      <c r="B814" s="4">
        <f t="shared" si="36"/>
        <v>2024</v>
      </c>
      <c r="C814" s="4">
        <f t="shared" si="37"/>
        <v>6</v>
      </c>
      <c r="D814" s="2">
        <v>45461.586182002313</v>
      </c>
      <c r="E814" s="4">
        <f t="shared" si="38"/>
        <v>14</v>
      </c>
      <c r="F814" t="s">
        <v>3</v>
      </c>
      <c r="G814" t="s">
        <v>313</v>
      </c>
      <c r="H814" s="3">
        <v>27.92</v>
      </c>
      <c r="I814" t="s">
        <v>11</v>
      </c>
    </row>
    <row r="815" spans="1:9" x14ac:dyDescent="0.3">
      <c r="A815" s="1">
        <v>45461</v>
      </c>
      <c r="B815" s="4">
        <f t="shared" si="36"/>
        <v>2024</v>
      </c>
      <c r="C815" s="4">
        <f t="shared" si="37"/>
        <v>6</v>
      </c>
      <c r="D815" s="2">
        <v>45461.586948067132</v>
      </c>
      <c r="E815" s="4">
        <f t="shared" si="38"/>
        <v>14</v>
      </c>
      <c r="F815" t="s">
        <v>3</v>
      </c>
      <c r="G815" t="s">
        <v>313</v>
      </c>
      <c r="H815" s="3">
        <v>37.72</v>
      </c>
      <c r="I815" t="s">
        <v>43</v>
      </c>
    </row>
    <row r="816" spans="1:9" x14ac:dyDescent="0.3">
      <c r="A816" s="1">
        <v>45461</v>
      </c>
      <c r="B816" s="4">
        <f t="shared" si="36"/>
        <v>2024</v>
      </c>
      <c r="C816" s="4">
        <f t="shared" si="37"/>
        <v>6</v>
      </c>
      <c r="D816" s="2">
        <v>45461.806025127313</v>
      </c>
      <c r="E816" s="4">
        <f t="shared" si="38"/>
        <v>19</v>
      </c>
      <c r="F816" t="s">
        <v>3</v>
      </c>
      <c r="G816" t="s">
        <v>168</v>
      </c>
      <c r="H816" s="3">
        <v>37.72</v>
      </c>
      <c r="I816" t="s">
        <v>43</v>
      </c>
    </row>
    <row r="817" spans="1:9" x14ac:dyDescent="0.3">
      <c r="A817" s="1">
        <v>45461</v>
      </c>
      <c r="B817" s="4">
        <f t="shared" si="36"/>
        <v>2024</v>
      </c>
      <c r="C817" s="4">
        <f t="shared" si="37"/>
        <v>6</v>
      </c>
      <c r="D817" s="2">
        <v>45461.806700138892</v>
      </c>
      <c r="E817" s="4">
        <f t="shared" si="38"/>
        <v>19</v>
      </c>
      <c r="F817" t="s">
        <v>3</v>
      </c>
      <c r="G817" t="s">
        <v>168</v>
      </c>
      <c r="H817" s="3">
        <v>37.72</v>
      </c>
      <c r="I817" t="s">
        <v>43</v>
      </c>
    </row>
    <row r="818" spans="1:9" x14ac:dyDescent="0.3">
      <c r="A818" s="1">
        <v>45461</v>
      </c>
      <c r="B818" s="4">
        <f t="shared" si="36"/>
        <v>2024</v>
      </c>
      <c r="C818" s="4">
        <f t="shared" si="37"/>
        <v>6</v>
      </c>
      <c r="D818" s="2">
        <v>45461.858211770836</v>
      </c>
      <c r="E818" s="4">
        <f t="shared" si="38"/>
        <v>20</v>
      </c>
      <c r="F818" t="s">
        <v>3</v>
      </c>
      <c r="G818" t="s">
        <v>324</v>
      </c>
      <c r="H818" s="3">
        <v>27.92</v>
      </c>
      <c r="I818" t="s">
        <v>28</v>
      </c>
    </row>
    <row r="819" spans="1:9" x14ac:dyDescent="0.3">
      <c r="A819" s="1">
        <v>45461</v>
      </c>
      <c r="B819" s="4">
        <f t="shared" si="36"/>
        <v>2024</v>
      </c>
      <c r="C819" s="4">
        <f t="shared" si="37"/>
        <v>6</v>
      </c>
      <c r="D819" s="2">
        <v>45461.889462106483</v>
      </c>
      <c r="E819" s="4">
        <f t="shared" si="38"/>
        <v>21</v>
      </c>
      <c r="F819" t="s">
        <v>3</v>
      </c>
      <c r="G819" t="s">
        <v>23</v>
      </c>
      <c r="H819" s="3">
        <v>32.82</v>
      </c>
      <c r="I819" t="s">
        <v>14</v>
      </c>
    </row>
    <row r="820" spans="1:9" x14ac:dyDescent="0.3">
      <c r="A820" s="1">
        <v>45461</v>
      </c>
      <c r="B820" s="4">
        <f t="shared" si="36"/>
        <v>2024</v>
      </c>
      <c r="C820" s="4">
        <f t="shared" si="37"/>
        <v>6</v>
      </c>
      <c r="D820" s="2">
        <v>45461.890492106482</v>
      </c>
      <c r="E820" s="4">
        <f t="shared" si="38"/>
        <v>21</v>
      </c>
      <c r="F820" t="s">
        <v>3</v>
      </c>
      <c r="G820" t="s">
        <v>23</v>
      </c>
      <c r="H820" s="3">
        <v>32.82</v>
      </c>
      <c r="I820" t="s">
        <v>14</v>
      </c>
    </row>
    <row r="821" spans="1:9" x14ac:dyDescent="0.3">
      <c r="A821" s="1">
        <v>45462</v>
      </c>
      <c r="B821" s="4">
        <f t="shared" si="36"/>
        <v>2024</v>
      </c>
      <c r="C821" s="4">
        <f t="shared" si="37"/>
        <v>6</v>
      </c>
      <c r="D821" s="2">
        <v>45462.32453510417</v>
      </c>
      <c r="E821" s="4">
        <f t="shared" si="38"/>
        <v>7</v>
      </c>
      <c r="F821" t="s">
        <v>3</v>
      </c>
      <c r="G821" t="s">
        <v>325</v>
      </c>
      <c r="H821" s="3">
        <v>37.72</v>
      </c>
      <c r="I821" t="s">
        <v>7</v>
      </c>
    </row>
    <row r="822" spans="1:9" x14ac:dyDescent="0.3">
      <c r="A822" s="1">
        <v>45462</v>
      </c>
      <c r="B822" s="4">
        <f t="shared" si="36"/>
        <v>2024</v>
      </c>
      <c r="C822" s="4">
        <f t="shared" si="37"/>
        <v>6</v>
      </c>
      <c r="D822" s="2">
        <v>45462.345769768515</v>
      </c>
      <c r="E822" s="4">
        <f t="shared" si="38"/>
        <v>8</v>
      </c>
      <c r="F822" t="s">
        <v>3</v>
      </c>
      <c r="G822" t="s">
        <v>155</v>
      </c>
      <c r="H822" s="3">
        <v>27.92</v>
      </c>
      <c r="I822" t="s">
        <v>28</v>
      </c>
    </row>
    <row r="823" spans="1:9" x14ac:dyDescent="0.3">
      <c r="A823" s="1">
        <v>45462</v>
      </c>
      <c r="B823" s="4">
        <f t="shared" si="36"/>
        <v>2024</v>
      </c>
      <c r="C823" s="4">
        <f t="shared" si="37"/>
        <v>6</v>
      </c>
      <c r="D823" s="2">
        <v>45462.454172361111</v>
      </c>
      <c r="E823" s="4">
        <f t="shared" si="38"/>
        <v>10</v>
      </c>
      <c r="F823" t="s">
        <v>3</v>
      </c>
      <c r="G823" t="s">
        <v>326</v>
      </c>
      <c r="H823" s="3">
        <v>27.92</v>
      </c>
      <c r="I823" t="s">
        <v>11</v>
      </c>
    </row>
    <row r="824" spans="1:9" x14ac:dyDescent="0.3">
      <c r="A824" s="1">
        <v>45462</v>
      </c>
      <c r="B824" s="4">
        <f t="shared" si="36"/>
        <v>2024</v>
      </c>
      <c r="C824" s="4">
        <f t="shared" si="37"/>
        <v>6</v>
      </c>
      <c r="D824" s="2">
        <v>45462.466294062498</v>
      </c>
      <c r="E824" s="4">
        <f t="shared" si="38"/>
        <v>11</v>
      </c>
      <c r="F824" t="s">
        <v>3</v>
      </c>
      <c r="G824" t="s">
        <v>327</v>
      </c>
      <c r="H824" s="3">
        <v>37.72</v>
      </c>
      <c r="I824" t="s">
        <v>7</v>
      </c>
    </row>
    <row r="825" spans="1:9" x14ac:dyDescent="0.3">
      <c r="A825" s="1">
        <v>45462</v>
      </c>
      <c r="B825" s="4">
        <f t="shared" si="36"/>
        <v>2024</v>
      </c>
      <c r="C825" s="4">
        <f t="shared" si="37"/>
        <v>6</v>
      </c>
      <c r="D825" s="2">
        <v>45462.467030231484</v>
      </c>
      <c r="E825" s="4">
        <f t="shared" si="38"/>
        <v>11</v>
      </c>
      <c r="F825" t="s">
        <v>3</v>
      </c>
      <c r="G825" t="s">
        <v>327</v>
      </c>
      <c r="H825" s="3">
        <v>37.72</v>
      </c>
      <c r="I825" t="s">
        <v>18</v>
      </c>
    </row>
    <row r="826" spans="1:9" x14ac:dyDescent="0.3">
      <c r="A826" s="1">
        <v>45462</v>
      </c>
      <c r="B826" s="4">
        <f t="shared" si="36"/>
        <v>2024</v>
      </c>
      <c r="C826" s="4">
        <f t="shared" si="37"/>
        <v>6</v>
      </c>
      <c r="D826" s="2">
        <v>45462.598336319446</v>
      </c>
      <c r="E826" s="4">
        <f t="shared" si="38"/>
        <v>14</v>
      </c>
      <c r="F826" t="s">
        <v>3</v>
      </c>
      <c r="G826" t="s">
        <v>178</v>
      </c>
      <c r="H826" s="3">
        <v>32.82</v>
      </c>
      <c r="I826" t="s">
        <v>14</v>
      </c>
    </row>
    <row r="827" spans="1:9" x14ac:dyDescent="0.3">
      <c r="A827" s="1">
        <v>45462</v>
      </c>
      <c r="B827" s="4">
        <f t="shared" si="36"/>
        <v>2024</v>
      </c>
      <c r="C827" s="4">
        <f t="shared" si="37"/>
        <v>6</v>
      </c>
      <c r="D827" s="2">
        <v>45462.769947187502</v>
      </c>
      <c r="E827" s="4">
        <f t="shared" si="38"/>
        <v>18</v>
      </c>
      <c r="F827" t="s">
        <v>3</v>
      </c>
      <c r="G827" t="s">
        <v>167</v>
      </c>
      <c r="H827" s="3">
        <v>37.72</v>
      </c>
      <c r="I827" t="s">
        <v>43</v>
      </c>
    </row>
    <row r="828" spans="1:9" x14ac:dyDescent="0.3">
      <c r="A828" s="1">
        <v>45462</v>
      </c>
      <c r="B828" s="4">
        <f t="shared" si="36"/>
        <v>2024</v>
      </c>
      <c r="C828" s="4">
        <f t="shared" si="37"/>
        <v>6</v>
      </c>
      <c r="D828" s="2">
        <v>45462.770821307873</v>
      </c>
      <c r="E828" s="4">
        <f t="shared" si="38"/>
        <v>18</v>
      </c>
      <c r="F828" t="s">
        <v>3</v>
      </c>
      <c r="G828" t="s">
        <v>167</v>
      </c>
      <c r="H828" s="3">
        <v>37.72</v>
      </c>
      <c r="I828" t="s">
        <v>7</v>
      </c>
    </row>
    <row r="829" spans="1:9" x14ac:dyDescent="0.3">
      <c r="A829" s="1">
        <v>45462</v>
      </c>
      <c r="B829" s="4">
        <f t="shared" si="36"/>
        <v>2024</v>
      </c>
      <c r="C829" s="4">
        <f t="shared" si="37"/>
        <v>6</v>
      </c>
      <c r="D829" s="2">
        <v>45462.813556631947</v>
      </c>
      <c r="E829" s="4">
        <f t="shared" si="38"/>
        <v>19</v>
      </c>
      <c r="F829" t="s">
        <v>3</v>
      </c>
      <c r="G829" t="s">
        <v>19</v>
      </c>
      <c r="H829" s="3">
        <v>32.82</v>
      </c>
      <c r="I829" t="s">
        <v>14</v>
      </c>
    </row>
    <row r="830" spans="1:9" x14ac:dyDescent="0.3">
      <c r="A830" s="1">
        <v>45462</v>
      </c>
      <c r="B830" s="4">
        <f t="shared" si="36"/>
        <v>2024</v>
      </c>
      <c r="C830" s="4">
        <f t="shared" si="37"/>
        <v>6</v>
      </c>
      <c r="D830" s="2">
        <v>45462.895132928243</v>
      </c>
      <c r="E830" s="4">
        <f t="shared" si="38"/>
        <v>21</v>
      </c>
      <c r="F830" t="s">
        <v>3</v>
      </c>
      <c r="G830" t="s">
        <v>206</v>
      </c>
      <c r="H830" s="3">
        <v>37.72</v>
      </c>
      <c r="I830" t="s">
        <v>43</v>
      </c>
    </row>
    <row r="831" spans="1:9" x14ac:dyDescent="0.3">
      <c r="A831" s="1">
        <v>45462</v>
      </c>
      <c r="B831" s="4">
        <f t="shared" si="36"/>
        <v>2024</v>
      </c>
      <c r="C831" s="4">
        <f t="shared" si="37"/>
        <v>6</v>
      </c>
      <c r="D831" s="2">
        <v>45462.895873657406</v>
      </c>
      <c r="E831" s="4">
        <f t="shared" si="38"/>
        <v>21</v>
      </c>
      <c r="F831" t="s">
        <v>3</v>
      </c>
      <c r="G831" t="s">
        <v>206</v>
      </c>
      <c r="H831" s="3">
        <v>32.82</v>
      </c>
      <c r="I831" t="s">
        <v>14</v>
      </c>
    </row>
    <row r="832" spans="1:9" x14ac:dyDescent="0.3">
      <c r="A832" s="1">
        <v>45463</v>
      </c>
      <c r="B832" s="4">
        <f t="shared" si="36"/>
        <v>2024</v>
      </c>
      <c r="C832" s="4">
        <f t="shared" si="37"/>
        <v>6</v>
      </c>
      <c r="D832" s="2">
        <v>45463.451463576392</v>
      </c>
      <c r="E832" s="4">
        <f t="shared" si="38"/>
        <v>10</v>
      </c>
      <c r="F832" t="s">
        <v>3</v>
      </c>
      <c r="G832" t="s">
        <v>111</v>
      </c>
      <c r="H832" s="3">
        <v>37.72</v>
      </c>
      <c r="I832" t="s">
        <v>7</v>
      </c>
    </row>
    <row r="833" spans="1:9" x14ac:dyDescent="0.3">
      <c r="A833" s="1">
        <v>45463</v>
      </c>
      <c r="B833" s="4">
        <f t="shared" ref="B833:B896" si="39">YEAR(A833)</f>
        <v>2024</v>
      </c>
      <c r="C833" s="4">
        <f t="shared" ref="C833:C896" si="40">MONTH(A833)</f>
        <v>6</v>
      </c>
      <c r="D833" s="2">
        <v>45463.790996319447</v>
      </c>
      <c r="E833" s="4">
        <f t="shared" ref="E833:E896" si="41">HOUR(D833)</f>
        <v>18</v>
      </c>
      <c r="F833" t="s">
        <v>3</v>
      </c>
      <c r="G833" t="s">
        <v>328</v>
      </c>
      <c r="H833" s="3">
        <v>37.72</v>
      </c>
      <c r="I833" t="s">
        <v>7</v>
      </c>
    </row>
    <row r="834" spans="1:9" x14ac:dyDescent="0.3">
      <c r="A834" s="1">
        <v>45463</v>
      </c>
      <c r="B834" s="4">
        <f t="shared" si="39"/>
        <v>2024</v>
      </c>
      <c r="C834" s="4">
        <f t="shared" si="40"/>
        <v>6</v>
      </c>
      <c r="D834" s="2">
        <v>45463.791669409722</v>
      </c>
      <c r="E834" s="4">
        <f t="shared" si="41"/>
        <v>19</v>
      </c>
      <c r="F834" t="s">
        <v>3</v>
      </c>
      <c r="G834" t="s">
        <v>328</v>
      </c>
      <c r="H834" s="3">
        <v>37.72</v>
      </c>
      <c r="I834" t="s">
        <v>7</v>
      </c>
    </row>
    <row r="835" spans="1:9" x14ac:dyDescent="0.3">
      <c r="A835" s="1">
        <v>45463</v>
      </c>
      <c r="B835" s="4">
        <f t="shared" si="39"/>
        <v>2024</v>
      </c>
      <c r="C835" s="4">
        <f t="shared" si="40"/>
        <v>6</v>
      </c>
      <c r="D835" s="2">
        <v>45463.90219922454</v>
      </c>
      <c r="E835" s="4">
        <f t="shared" si="41"/>
        <v>21</v>
      </c>
      <c r="F835" t="s">
        <v>3</v>
      </c>
      <c r="G835" t="s">
        <v>271</v>
      </c>
      <c r="H835" s="3">
        <v>37.72</v>
      </c>
      <c r="I835" t="s">
        <v>7</v>
      </c>
    </row>
    <row r="836" spans="1:9" x14ac:dyDescent="0.3">
      <c r="A836" s="1">
        <v>45463</v>
      </c>
      <c r="B836" s="4">
        <f t="shared" si="39"/>
        <v>2024</v>
      </c>
      <c r="C836" s="4">
        <f t="shared" si="40"/>
        <v>6</v>
      </c>
      <c r="D836" s="2">
        <v>45463.915052708333</v>
      </c>
      <c r="E836" s="4">
        <f t="shared" si="41"/>
        <v>21</v>
      </c>
      <c r="F836" t="s">
        <v>3</v>
      </c>
      <c r="G836" t="s">
        <v>19</v>
      </c>
      <c r="H836" s="3">
        <v>37.72</v>
      </c>
      <c r="I836" t="s">
        <v>7</v>
      </c>
    </row>
    <row r="837" spans="1:9" x14ac:dyDescent="0.3">
      <c r="A837" s="1">
        <v>45463</v>
      </c>
      <c r="B837" s="4">
        <f t="shared" si="39"/>
        <v>2024</v>
      </c>
      <c r="C837" s="4">
        <f t="shared" si="40"/>
        <v>6</v>
      </c>
      <c r="D837" s="2">
        <v>45463.916175902777</v>
      </c>
      <c r="E837" s="4">
        <f t="shared" si="41"/>
        <v>21</v>
      </c>
      <c r="F837" t="s">
        <v>3</v>
      </c>
      <c r="G837" t="s">
        <v>19</v>
      </c>
      <c r="H837" s="3">
        <v>32.82</v>
      </c>
      <c r="I837" t="s">
        <v>14</v>
      </c>
    </row>
    <row r="838" spans="1:9" x14ac:dyDescent="0.3">
      <c r="A838" s="1">
        <v>45464</v>
      </c>
      <c r="B838" s="4">
        <f t="shared" si="39"/>
        <v>2024</v>
      </c>
      <c r="C838" s="4">
        <f t="shared" si="40"/>
        <v>6</v>
      </c>
      <c r="D838" s="2">
        <v>45464.416619560187</v>
      </c>
      <c r="E838" s="4">
        <f t="shared" si="41"/>
        <v>9</v>
      </c>
      <c r="F838" t="s">
        <v>3</v>
      </c>
      <c r="G838" t="s">
        <v>325</v>
      </c>
      <c r="H838" s="3">
        <v>37.72</v>
      </c>
      <c r="I838" t="s">
        <v>7</v>
      </c>
    </row>
    <row r="839" spans="1:9" x14ac:dyDescent="0.3">
      <c r="A839" s="1">
        <v>45464</v>
      </c>
      <c r="B839" s="4">
        <f t="shared" si="39"/>
        <v>2024</v>
      </c>
      <c r="C839" s="4">
        <f t="shared" si="40"/>
        <v>6</v>
      </c>
      <c r="D839" s="2">
        <v>45464.417826192126</v>
      </c>
      <c r="E839" s="4">
        <f t="shared" si="41"/>
        <v>10</v>
      </c>
      <c r="F839" t="s">
        <v>3</v>
      </c>
      <c r="G839" t="s">
        <v>329</v>
      </c>
      <c r="H839" s="3">
        <v>27.92</v>
      </c>
      <c r="I839" t="s">
        <v>11</v>
      </c>
    </row>
    <row r="840" spans="1:9" x14ac:dyDescent="0.3">
      <c r="A840" s="1">
        <v>45464</v>
      </c>
      <c r="B840" s="4">
        <f t="shared" si="39"/>
        <v>2024</v>
      </c>
      <c r="C840" s="4">
        <f t="shared" si="40"/>
        <v>6</v>
      </c>
      <c r="D840" s="2">
        <v>45464.55508583333</v>
      </c>
      <c r="E840" s="4">
        <f t="shared" si="41"/>
        <v>13</v>
      </c>
      <c r="F840" t="s">
        <v>3</v>
      </c>
      <c r="G840" t="s">
        <v>23</v>
      </c>
      <c r="H840" s="3">
        <v>32.82</v>
      </c>
      <c r="I840" t="s">
        <v>14</v>
      </c>
    </row>
    <row r="841" spans="1:9" x14ac:dyDescent="0.3">
      <c r="A841" s="1">
        <v>45464</v>
      </c>
      <c r="B841" s="4">
        <f t="shared" si="39"/>
        <v>2024</v>
      </c>
      <c r="C841" s="4">
        <f t="shared" si="40"/>
        <v>6</v>
      </c>
      <c r="D841" s="2">
        <v>45464.555920289349</v>
      </c>
      <c r="E841" s="4">
        <f t="shared" si="41"/>
        <v>13</v>
      </c>
      <c r="F841" t="s">
        <v>3</v>
      </c>
      <c r="G841" t="s">
        <v>23</v>
      </c>
      <c r="H841" s="3">
        <v>32.82</v>
      </c>
      <c r="I841" t="s">
        <v>14</v>
      </c>
    </row>
    <row r="842" spans="1:9" x14ac:dyDescent="0.3">
      <c r="A842" s="1">
        <v>45464</v>
      </c>
      <c r="B842" s="4">
        <f t="shared" si="39"/>
        <v>2024</v>
      </c>
      <c r="C842" s="4">
        <f t="shared" si="40"/>
        <v>6</v>
      </c>
      <c r="D842" s="2">
        <v>45464.75851925926</v>
      </c>
      <c r="E842" s="4">
        <f t="shared" si="41"/>
        <v>18</v>
      </c>
      <c r="F842" t="s">
        <v>3</v>
      </c>
      <c r="G842" t="s">
        <v>330</v>
      </c>
      <c r="H842" s="3">
        <v>23.02</v>
      </c>
      <c r="I842" t="s">
        <v>35</v>
      </c>
    </row>
    <row r="843" spans="1:9" x14ac:dyDescent="0.3">
      <c r="A843" s="1">
        <v>45464</v>
      </c>
      <c r="B843" s="4">
        <f t="shared" si="39"/>
        <v>2024</v>
      </c>
      <c r="C843" s="4">
        <f t="shared" si="40"/>
        <v>6</v>
      </c>
      <c r="D843" s="2">
        <v>45464.812808460651</v>
      </c>
      <c r="E843" s="4">
        <f t="shared" si="41"/>
        <v>19</v>
      </c>
      <c r="F843" t="s">
        <v>3</v>
      </c>
      <c r="G843" t="s">
        <v>19</v>
      </c>
      <c r="H843" s="3">
        <v>37.72</v>
      </c>
      <c r="I843" t="s">
        <v>7</v>
      </c>
    </row>
    <row r="844" spans="1:9" x14ac:dyDescent="0.3">
      <c r="A844" s="1">
        <v>45464</v>
      </c>
      <c r="B844" s="4">
        <f t="shared" si="39"/>
        <v>2024</v>
      </c>
      <c r="C844" s="4">
        <f t="shared" si="40"/>
        <v>6</v>
      </c>
      <c r="D844" s="2">
        <v>45464.824377326389</v>
      </c>
      <c r="E844" s="4">
        <f t="shared" si="41"/>
        <v>19</v>
      </c>
      <c r="F844" t="s">
        <v>3</v>
      </c>
      <c r="G844" t="s">
        <v>168</v>
      </c>
      <c r="H844" s="3">
        <v>37.72</v>
      </c>
      <c r="I844" t="s">
        <v>43</v>
      </c>
    </row>
    <row r="845" spans="1:9" x14ac:dyDescent="0.3">
      <c r="A845" s="1">
        <v>45464</v>
      </c>
      <c r="B845" s="4">
        <f t="shared" si="39"/>
        <v>2024</v>
      </c>
      <c r="C845" s="4">
        <f t="shared" si="40"/>
        <v>6</v>
      </c>
      <c r="D845" s="2">
        <v>45464.825077696762</v>
      </c>
      <c r="E845" s="4">
        <f t="shared" si="41"/>
        <v>19</v>
      </c>
      <c r="F845" t="s">
        <v>3</v>
      </c>
      <c r="G845" t="s">
        <v>168</v>
      </c>
      <c r="H845" s="3">
        <v>37.72</v>
      </c>
      <c r="I845" t="s">
        <v>43</v>
      </c>
    </row>
    <row r="846" spans="1:9" x14ac:dyDescent="0.3">
      <c r="A846" s="1">
        <v>45464</v>
      </c>
      <c r="B846" s="4">
        <f t="shared" si="39"/>
        <v>2024</v>
      </c>
      <c r="C846" s="4">
        <f t="shared" si="40"/>
        <v>6</v>
      </c>
      <c r="D846" s="2">
        <v>45464.826325289352</v>
      </c>
      <c r="E846" s="4">
        <f t="shared" si="41"/>
        <v>19</v>
      </c>
      <c r="F846" t="s">
        <v>3</v>
      </c>
      <c r="G846" t="s">
        <v>194</v>
      </c>
      <c r="H846" s="3">
        <v>37.72</v>
      </c>
      <c r="I846" t="s">
        <v>43</v>
      </c>
    </row>
    <row r="847" spans="1:9" x14ac:dyDescent="0.3">
      <c r="A847" s="1">
        <v>45464</v>
      </c>
      <c r="B847" s="4">
        <f t="shared" si="39"/>
        <v>2024</v>
      </c>
      <c r="C847" s="4">
        <f t="shared" si="40"/>
        <v>6</v>
      </c>
      <c r="D847" s="2">
        <v>45464.827085775461</v>
      </c>
      <c r="E847" s="4">
        <f t="shared" si="41"/>
        <v>19</v>
      </c>
      <c r="F847" t="s">
        <v>3</v>
      </c>
      <c r="G847" t="s">
        <v>194</v>
      </c>
      <c r="H847" s="3">
        <v>37.72</v>
      </c>
      <c r="I847" t="s">
        <v>43</v>
      </c>
    </row>
    <row r="848" spans="1:9" x14ac:dyDescent="0.3">
      <c r="A848" s="1">
        <v>45464</v>
      </c>
      <c r="B848" s="4">
        <f t="shared" si="39"/>
        <v>2024</v>
      </c>
      <c r="C848" s="4">
        <f t="shared" si="40"/>
        <v>6</v>
      </c>
      <c r="D848" s="2">
        <v>45464.827995081017</v>
      </c>
      <c r="E848" s="4">
        <f t="shared" si="41"/>
        <v>19</v>
      </c>
      <c r="F848" t="s">
        <v>3</v>
      </c>
      <c r="G848" t="s">
        <v>194</v>
      </c>
      <c r="H848" s="3">
        <v>27.92</v>
      </c>
      <c r="I848" t="s">
        <v>11</v>
      </c>
    </row>
    <row r="849" spans="1:9" x14ac:dyDescent="0.3">
      <c r="A849" s="1">
        <v>45464</v>
      </c>
      <c r="B849" s="4">
        <f t="shared" si="39"/>
        <v>2024</v>
      </c>
      <c r="C849" s="4">
        <f t="shared" si="40"/>
        <v>6</v>
      </c>
      <c r="D849" s="2">
        <v>45464.830290995371</v>
      </c>
      <c r="E849" s="4">
        <f t="shared" si="41"/>
        <v>19</v>
      </c>
      <c r="F849" t="s">
        <v>3</v>
      </c>
      <c r="G849" t="s">
        <v>325</v>
      </c>
      <c r="H849" s="3">
        <v>32.82</v>
      </c>
      <c r="I849" t="s">
        <v>14</v>
      </c>
    </row>
    <row r="850" spans="1:9" x14ac:dyDescent="0.3">
      <c r="A850" s="1">
        <v>45465</v>
      </c>
      <c r="B850" s="4">
        <f t="shared" si="39"/>
        <v>2024</v>
      </c>
      <c r="C850" s="4">
        <f t="shared" si="40"/>
        <v>6</v>
      </c>
      <c r="D850" s="2">
        <v>45465.360998530094</v>
      </c>
      <c r="E850" s="4">
        <f t="shared" si="41"/>
        <v>8</v>
      </c>
      <c r="F850" t="s">
        <v>3</v>
      </c>
      <c r="G850" t="s">
        <v>155</v>
      </c>
      <c r="H850" s="3">
        <v>27.92</v>
      </c>
      <c r="I850" t="s">
        <v>28</v>
      </c>
    </row>
    <row r="851" spans="1:9" x14ac:dyDescent="0.3">
      <c r="A851" s="1">
        <v>45465</v>
      </c>
      <c r="B851" s="4">
        <f t="shared" si="39"/>
        <v>2024</v>
      </c>
      <c r="C851" s="4">
        <f t="shared" si="40"/>
        <v>6</v>
      </c>
      <c r="D851" s="2">
        <v>45465.401259016202</v>
      </c>
      <c r="E851" s="4">
        <f t="shared" si="41"/>
        <v>9</v>
      </c>
      <c r="F851" t="s">
        <v>3</v>
      </c>
      <c r="G851" t="s">
        <v>325</v>
      </c>
      <c r="H851" s="3">
        <v>32.82</v>
      </c>
      <c r="I851" t="s">
        <v>14</v>
      </c>
    </row>
    <row r="852" spans="1:9" x14ac:dyDescent="0.3">
      <c r="A852" s="1">
        <v>45465</v>
      </c>
      <c r="B852" s="4">
        <f t="shared" si="39"/>
        <v>2024</v>
      </c>
      <c r="C852" s="4">
        <f t="shared" si="40"/>
        <v>6</v>
      </c>
      <c r="D852" s="2">
        <v>45465.53698542824</v>
      </c>
      <c r="E852" s="4">
        <f t="shared" si="41"/>
        <v>12</v>
      </c>
      <c r="F852" t="s">
        <v>3</v>
      </c>
      <c r="G852" t="s">
        <v>331</v>
      </c>
      <c r="H852" s="3">
        <v>32.82</v>
      </c>
      <c r="I852" t="s">
        <v>14</v>
      </c>
    </row>
    <row r="853" spans="1:9" x14ac:dyDescent="0.3">
      <c r="A853" s="1">
        <v>45465</v>
      </c>
      <c r="B853" s="4">
        <f t="shared" si="39"/>
        <v>2024</v>
      </c>
      <c r="C853" s="4">
        <f t="shared" si="40"/>
        <v>6</v>
      </c>
      <c r="D853" s="2">
        <v>45465.650927511575</v>
      </c>
      <c r="E853" s="4">
        <f t="shared" si="41"/>
        <v>15</v>
      </c>
      <c r="F853" t="s">
        <v>3</v>
      </c>
      <c r="G853" t="s">
        <v>19</v>
      </c>
      <c r="H853" s="3">
        <v>37.72</v>
      </c>
      <c r="I853" t="s">
        <v>7</v>
      </c>
    </row>
    <row r="854" spans="1:9" x14ac:dyDescent="0.3">
      <c r="A854" s="1">
        <v>45465</v>
      </c>
      <c r="B854" s="4">
        <f t="shared" si="39"/>
        <v>2024</v>
      </c>
      <c r="C854" s="4">
        <f t="shared" si="40"/>
        <v>6</v>
      </c>
      <c r="D854" s="2">
        <v>45465.923877291665</v>
      </c>
      <c r="E854" s="4">
        <f t="shared" si="41"/>
        <v>22</v>
      </c>
      <c r="F854" t="s">
        <v>3</v>
      </c>
      <c r="G854" t="s">
        <v>332</v>
      </c>
      <c r="H854" s="3">
        <v>37.72</v>
      </c>
      <c r="I854" t="s">
        <v>43</v>
      </c>
    </row>
    <row r="855" spans="1:9" x14ac:dyDescent="0.3">
      <c r="A855" s="1">
        <v>45466</v>
      </c>
      <c r="B855" s="4">
        <f t="shared" si="39"/>
        <v>2024</v>
      </c>
      <c r="C855" s="4">
        <f t="shared" si="40"/>
        <v>6</v>
      </c>
      <c r="D855" s="2">
        <v>45466.758349606484</v>
      </c>
      <c r="E855" s="4">
        <f t="shared" si="41"/>
        <v>18</v>
      </c>
      <c r="F855" t="s">
        <v>3</v>
      </c>
      <c r="G855" t="s">
        <v>23</v>
      </c>
      <c r="H855" s="3">
        <v>32.82</v>
      </c>
      <c r="I855" t="s">
        <v>14</v>
      </c>
    </row>
    <row r="856" spans="1:9" x14ac:dyDescent="0.3">
      <c r="A856" s="1">
        <v>45466</v>
      </c>
      <c r="B856" s="4">
        <f t="shared" si="39"/>
        <v>2024</v>
      </c>
      <c r="C856" s="4">
        <f t="shared" si="40"/>
        <v>6</v>
      </c>
      <c r="D856" s="2">
        <v>45466.759613865739</v>
      </c>
      <c r="E856" s="4">
        <f t="shared" si="41"/>
        <v>18</v>
      </c>
      <c r="F856" t="s">
        <v>3</v>
      </c>
      <c r="G856" t="s">
        <v>23</v>
      </c>
      <c r="H856" s="3">
        <v>32.82</v>
      </c>
      <c r="I856" t="s">
        <v>14</v>
      </c>
    </row>
    <row r="857" spans="1:9" x14ac:dyDescent="0.3">
      <c r="A857" s="1">
        <v>45466</v>
      </c>
      <c r="B857" s="4">
        <f t="shared" si="39"/>
        <v>2024</v>
      </c>
      <c r="C857" s="4">
        <f t="shared" si="40"/>
        <v>6</v>
      </c>
      <c r="D857" s="2">
        <v>45466.879710138892</v>
      </c>
      <c r="E857" s="4">
        <f t="shared" si="41"/>
        <v>21</v>
      </c>
      <c r="F857" t="s">
        <v>3</v>
      </c>
      <c r="G857" t="s">
        <v>333</v>
      </c>
      <c r="H857" s="3">
        <v>37.72</v>
      </c>
      <c r="I857" t="s">
        <v>43</v>
      </c>
    </row>
    <row r="858" spans="1:9" x14ac:dyDescent="0.3">
      <c r="A858" s="1">
        <v>45466</v>
      </c>
      <c r="B858" s="4">
        <f t="shared" si="39"/>
        <v>2024</v>
      </c>
      <c r="C858" s="4">
        <f t="shared" si="40"/>
        <v>6</v>
      </c>
      <c r="D858" s="2">
        <v>45466.89522943287</v>
      </c>
      <c r="E858" s="4">
        <f t="shared" si="41"/>
        <v>21</v>
      </c>
      <c r="F858" t="s">
        <v>3</v>
      </c>
      <c r="G858" t="s">
        <v>334</v>
      </c>
      <c r="H858" s="3">
        <v>37.72</v>
      </c>
      <c r="I858" t="s">
        <v>7</v>
      </c>
    </row>
    <row r="859" spans="1:9" x14ac:dyDescent="0.3">
      <c r="A859" s="1">
        <v>45466</v>
      </c>
      <c r="B859" s="4">
        <f t="shared" si="39"/>
        <v>2024</v>
      </c>
      <c r="C859" s="4">
        <f t="shared" si="40"/>
        <v>6</v>
      </c>
      <c r="D859" s="2">
        <v>45466.896254340281</v>
      </c>
      <c r="E859" s="4">
        <f t="shared" si="41"/>
        <v>21</v>
      </c>
      <c r="F859" t="s">
        <v>3</v>
      </c>
      <c r="G859" t="s">
        <v>334</v>
      </c>
      <c r="H859" s="3">
        <v>37.72</v>
      </c>
      <c r="I859" t="s">
        <v>43</v>
      </c>
    </row>
    <row r="860" spans="1:9" x14ac:dyDescent="0.3">
      <c r="A860" s="1">
        <v>45467</v>
      </c>
      <c r="B860" s="4">
        <f t="shared" si="39"/>
        <v>2024</v>
      </c>
      <c r="C860" s="4">
        <f t="shared" si="40"/>
        <v>6</v>
      </c>
      <c r="D860" s="2">
        <v>45467.489351145836</v>
      </c>
      <c r="E860" s="4">
        <f t="shared" si="41"/>
        <v>11</v>
      </c>
      <c r="F860" t="s">
        <v>3</v>
      </c>
      <c r="G860" t="s">
        <v>178</v>
      </c>
      <c r="H860" s="3">
        <v>32.82</v>
      </c>
      <c r="I860" t="s">
        <v>14</v>
      </c>
    </row>
    <row r="861" spans="1:9" x14ac:dyDescent="0.3">
      <c r="A861" s="1">
        <v>45467</v>
      </c>
      <c r="B861" s="4">
        <f t="shared" si="39"/>
        <v>2024</v>
      </c>
      <c r="C861" s="4">
        <f t="shared" si="40"/>
        <v>6</v>
      </c>
      <c r="D861" s="2">
        <v>45467.492778287036</v>
      </c>
      <c r="E861" s="4">
        <f t="shared" si="41"/>
        <v>11</v>
      </c>
      <c r="F861" t="s">
        <v>3</v>
      </c>
      <c r="G861" t="s">
        <v>194</v>
      </c>
      <c r="H861" s="3">
        <v>37.72</v>
      </c>
      <c r="I861" t="s">
        <v>43</v>
      </c>
    </row>
    <row r="862" spans="1:9" x14ac:dyDescent="0.3">
      <c r="A862" s="1">
        <v>45467</v>
      </c>
      <c r="B862" s="4">
        <f t="shared" si="39"/>
        <v>2024</v>
      </c>
      <c r="C862" s="4">
        <f t="shared" si="40"/>
        <v>6</v>
      </c>
      <c r="D862" s="2">
        <v>45467.49356574074</v>
      </c>
      <c r="E862" s="4">
        <f t="shared" si="41"/>
        <v>11</v>
      </c>
      <c r="F862" t="s">
        <v>3</v>
      </c>
      <c r="G862" t="s">
        <v>194</v>
      </c>
      <c r="H862" s="3">
        <v>37.72</v>
      </c>
      <c r="I862" t="s">
        <v>43</v>
      </c>
    </row>
    <row r="863" spans="1:9" x14ac:dyDescent="0.3">
      <c r="A863" s="1">
        <v>45467</v>
      </c>
      <c r="B863" s="4">
        <f t="shared" si="39"/>
        <v>2024</v>
      </c>
      <c r="C863" s="4">
        <f t="shared" si="40"/>
        <v>6</v>
      </c>
      <c r="D863" s="2">
        <v>45467.626724479167</v>
      </c>
      <c r="E863" s="4">
        <f t="shared" si="41"/>
        <v>15</v>
      </c>
      <c r="F863" t="s">
        <v>3</v>
      </c>
      <c r="G863" t="s">
        <v>335</v>
      </c>
      <c r="H863" s="3">
        <v>37.72</v>
      </c>
      <c r="I863" t="s">
        <v>7</v>
      </c>
    </row>
    <row r="864" spans="1:9" x14ac:dyDescent="0.3">
      <c r="A864" s="1">
        <v>45467</v>
      </c>
      <c r="B864" s="4">
        <f t="shared" si="39"/>
        <v>2024</v>
      </c>
      <c r="C864" s="4">
        <f t="shared" si="40"/>
        <v>6</v>
      </c>
      <c r="D864" s="2">
        <v>45467.698617743059</v>
      </c>
      <c r="E864" s="4">
        <f t="shared" si="41"/>
        <v>16</v>
      </c>
      <c r="F864" t="s">
        <v>3</v>
      </c>
      <c r="G864" t="s">
        <v>217</v>
      </c>
      <c r="H864" s="3">
        <v>37.72</v>
      </c>
      <c r="I864" t="s">
        <v>43</v>
      </c>
    </row>
    <row r="865" spans="1:9" x14ac:dyDescent="0.3">
      <c r="A865" s="1">
        <v>45467</v>
      </c>
      <c r="B865" s="4">
        <f t="shared" si="39"/>
        <v>2024</v>
      </c>
      <c r="C865" s="4">
        <f t="shared" si="40"/>
        <v>6</v>
      </c>
      <c r="D865" s="2">
        <v>45467.699310289354</v>
      </c>
      <c r="E865" s="4">
        <f t="shared" si="41"/>
        <v>16</v>
      </c>
      <c r="F865" t="s">
        <v>3</v>
      </c>
      <c r="G865" t="s">
        <v>217</v>
      </c>
      <c r="H865" s="3">
        <v>37.72</v>
      </c>
      <c r="I865" t="s">
        <v>43</v>
      </c>
    </row>
    <row r="866" spans="1:9" x14ac:dyDescent="0.3">
      <c r="A866" s="1">
        <v>45468</v>
      </c>
      <c r="B866" s="4">
        <f t="shared" si="39"/>
        <v>2024</v>
      </c>
      <c r="C866" s="4">
        <f t="shared" si="40"/>
        <v>6</v>
      </c>
      <c r="D866" s="2">
        <v>45468.346808379632</v>
      </c>
      <c r="E866" s="4">
        <f t="shared" si="41"/>
        <v>8</v>
      </c>
      <c r="F866" t="s">
        <v>3</v>
      </c>
      <c r="G866" t="s">
        <v>336</v>
      </c>
      <c r="H866" s="3">
        <v>37.72</v>
      </c>
      <c r="I866" t="s">
        <v>7</v>
      </c>
    </row>
    <row r="867" spans="1:9" x14ac:dyDescent="0.3">
      <c r="A867" s="1">
        <v>45468</v>
      </c>
      <c r="B867" s="4">
        <f t="shared" si="39"/>
        <v>2024</v>
      </c>
      <c r="C867" s="4">
        <f t="shared" si="40"/>
        <v>6</v>
      </c>
      <c r="D867" s="2">
        <v>45468.436416759258</v>
      </c>
      <c r="E867" s="4">
        <f t="shared" si="41"/>
        <v>10</v>
      </c>
      <c r="F867" t="s">
        <v>3</v>
      </c>
      <c r="G867" t="s">
        <v>23</v>
      </c>
      <c r="H867" s="3">
        <v>32.82</v>
      </c>
      <c r="I867" t="s">
        <v>14</v>
      </c>
    </row>
    <row r="868" spans="1:9" x14ac:dyDescent="0.3">
      <c r="A868" s="1">
        <v>45468</v>
      </c>
      <c r="B868" s="4">
        <f t="shared" si="39"/>
        <v>2024</v>
      </c>
      <c r="C868" s="4">
        <f t="shared" si="40"/>
        <v>6</v>
      </c>
      <c r="D868" s="2">
        <v>45468.437296412034</v>
      </c>
      <c r="E868" s="4">
        <f t="shared" si="41"/>
        <v>10</v>
      </c>
      <c r="F868" t="s">
        <v>3</v>
      </c>
      <c r="G868" t="s">
        <v>54</v>
      </c>
      <c r="H868" s="3">
        <v>32.82</v>
      </c>
      <c r="I868" t="s">
        <v>14</v>
      </c>
    </row>
    <row r="869" spans="1:9" x14ac:dyDescent="0.3">
      <c r="A869" s="1">
        <v>45468</v>
      </c>
      <c r="B869" s="4">
        <f t="shared" si="39"/>
        <v>2024</v>
      </c>
      <c r="C869" s="4">
        <f t="shared" si="40"/>
        <v>6</v>
      </c>
      <c r="D869" s="2">
        <v>45468.482549722219</v>
      </c>
      <c r="E869" s="4">
        <f t="shared" si="41"/>
        <v>11</v>
      </c>
      <c r="F869" t="s">
        <v>3</v>
      </c>
      <c r="G869" t="s">
        <v>217</v>
      </c>
      <c r="H869" s="3">
        <v>37.72</v>
      </c>
      <c r="I869" t="s">
        <v>43</v>
      </c>
    </row>
    <row r="870" spans="1:9" x14ac:dyDescent="0.3">
      <c r="A870" s="1">
        <v>45469</v>
      </c>
      <c r="B870" s="4">
        <f t="shared" si="39"/>
        <v>2024</v>
      </c>
      <c r="C870" s="4">
        <f t="shared" si="40"/>
        <v>6</v>
      </c>
      <c r="D870" s="2">
        <v>45469.397936412039</v>
      </c>
      <c r="E870" s="4">
        <f t="shared" si="41"/>
        <v>9</v>
      </c>
      <c r="F870" t="s">
        <v>3</v>
      </c>
      <c r="G870" t="s">
        <v>337</v>
      </c>
      <c r="H870" s="3">
        <v>37.72</v>
      </c>
      <c r="I870" t="s">
        <v>7</v>
      </c>
    </row>
    <row r="871" spans="1:9" x14ac:dyDescent="0.3">
      <c r="A871" s="1">
        <v>45469</v>
      </c>
      <c r="B871" s="4">
        <f t="shared" si="39"/>
        <v>2024</v>
      </c>
      <c r="C871" s="4">
        <f t="shared" si="40"/>
        <v>6</v>
      </c>
      <c r="D871" s="2">
        <v>45469.689229780095</v>
      </c>
      <c r="E871" s="4">
        <f t="shared" si="41"/>
        <v>16</v>
      </c>
      <c r="F871" t="s">
        <v>3</v>
      </c>
      <c r="G871" t="s">
        <v>338</v>
      </c>
      <c r="H871" s="3">
        <v>23.02</v>
      </c>
      <c r="I871" t="s">
        <v>35</v>
      </c>
    </row>
    <row r="872" spans="1:9" x14ac:dyDescent="0.3">
      <c r="A872" s="1">
        <v>45469</v>
      </c>
      <c r="B872" s="4">
        <f t="shared" si="39"/>
        <v>2024</v>
      </c>
      <c r="C872" s="4">
        <f t="shared" si="40"/>
        <v>6</v>
      </c>
      <c r="D872" s="2">
        <v>45469.690296377317</v>
      </c>
      <c r="E872" s="4">
        <f t="shared" si="41"/>
        <v>16</v>
      </c>
      <c r="F872" t="s">
        <v>3</v>
      </c>
      <c r="G872" t="s">
        <v>339</v>
      </c>
      <c r="H872" s="3">
        <v>27.92</v>
      </c>
      <c r="I872" t="s">
        <v>11</v>
      </c>
    </row>
    <row r="873" spans="1:9" x14ac:dyDescent="0.3">
      <c r="A873" s="1">
        <v>45469</v>
      </c>
      <c r="B873" s="4">
        <f t="shared" si="39"/>
        <v>2024</v>
      </c>
      <c r="C873" s="4">
        <f t="shared" si="40"/>
        <v>6</v>
      </c>
      <c r="D873" s="2">
        <v>45469.890200185182</v>
      </c>
      <c r="E873" s="4">
        <f t="shared" si="41"/>
        <v>21</v>
      </c>
      <c r="F873" t="s">
        <v>3</v>
      </c>
      <c r="G873" t="s">
        <v>19</v>
      </c>
      <c r="H873" s="3">
        <v>37.72</v>
      </c>
      <c r="I873" t="s">
        <v>7</v>
      </c>
    </row>
    <row r="874" spans="1:9" x14ac:dyDescent="0.3">
      <c r="A874" s="1">
        <v>45469</v>
      </c>
      <c r="B874" s="4">
        <f t="shared" si="39"/>
        <v>2024</v>
      </c>
      <c r="C874" s="4">
        <f t="shared" si="40"/>
        <v>6</v>
      </c>
      <c r="D874" s="2">
        <v>45469.893759340281</v>
      </c>
      <c r="E874" s="4">
        <f t="shared" si="41"/>
        <v>21</v>
      </c>
      <c r="F874" t="s">
        <v>3</v>
      </c>
      <c r="G874" t="s">
        <v>19</v>
      </c>
      <c r="H874" s="3">
        <v>37.72</v>
      </c>
      <c r="I874" t="s">
        <v>43</v>
      </c>
    </row>
    <row r="875" spans="1:9" x14ac:dyDescent="0.3">
      <c r="A875" s="1">
        <v>45469</v>
      </c>
      <c r="B875" s="4">
        <f t="shared" si="39"/>
        <v>2024</v>
      </c>
      <c r="C875" s="4">
        <f t="shared" si="40"/>
        <v>6</v>
      </c>
      <c r="D875" s="2">
        <v>45469.894613032404</v>
      </c>
      <c r="E875" s="4">
        <f t="shared" si="41"/>
        <v>21</v>
      </c>
      <c r="F875" t="s">
        <v>3</v>
      </c>
      <c r="G875" t="s">
        <v>220</v>
      </c>
      <c r="H875" s="3">
        <v>32.82</v>
      </c>
      <c r="I875" t="s">
        <v>14</v>
      </c>
    </row>
    <row r="876" spans="1:9" x14ac:dyDescent="0.3">
      <c r="A876" s="1">
        <v>45470</v>
      </c>
      <c r="B876" s="4">
        <f t="shared" si="39"/>
        <v>2024</v>
      </c>
      <c r="C876" s="4">
        <f t="shared" si="40"/>
        <v>6</v>
      </c>
      <c r="D876" s="2">
        <v>45470.385916354164</v>
      </c>
      <c r="E876" s="4">
        <f t="shared" si="41"/>
        <v>9</v>
      </c>
      <c r="F876" t="s">
        <v>3</v>
      </c>
      <c r="G876" t="s">
        <v>340</v>
      </c>
      <c r="H876" s="3">
        <v>32.82</v>
      </c>
      <c r="I876" t="s">
        <v>14</v>
      </c>
    </row>
    <row r="877" spans="1:9" x14ac:dyDescent="0.3">
      <c r="A877" s="1">
        <v>45470</v>
      </c>
      <c r="B877" s="4">
        <f t="shared" si="39"/>
        <v>2024</v>
      </c>
      <c r="C877" s="4">
        <f t="shared" si="40"/>
        <v>6</v>
      </c>
      <c r="D877" s="2">
        <v>45470.674861111111</v>
      </c>
      <c r="E877" s="4">
        <f t="shared" si="41"/>
        <v>16</v>
      </c>
      <c r="F877" t="s">
        <v>3</v>
      </c>
      <c r="G877" t="s">
        <v>341</v>
      </c>
      <c r="H877" s="3">
        <v>27.92</v>
      </c>
      <c r="I877" t="s">
        <v>28</v>
      </c>
    </row>
    <row r="878" spans="1:9" x14ac:dyDescent="0.3">
      <c r="A878" s="1">
        <v>45470</v>
      </c>
      <c r="B878" s="4">
        <f t="shared" si="39"/>
        <v>2024</v>
      </c>
      <c r="C878" s="4">
        <f t="shared" si="40"/>
        <v>6</v>
      </c>
      <c r="D878" s="2">
        <v>45470.905594583332</v>
      </c>
      <c r="E878" s="4">
        <f t="shared" si="41"/>
        <v>21</v>
      </c>
      <c r="F878" t="s">
        <v>3</v>
      </c>
      <c r="G878" t="s">
        <v>342</v>
      </c>
      <c r="H878" s="3">
        <v>32.82</v>
      </c>
      <c r="I878" t="s">
        <v>14</v>
      </c>
    </row>
    <row r="879" spans="1:9" x14ac:dyDescent="0.3">
      <c r="A879" s="1">
        <v>45470</v>
      </c>
      <c r="B879" s="4">
        <f t="shared" si="39"/>
        <v>2024</v>
      </c>
      <c r="C879" s="4">
        <f t="shared" si="40"/>
        <v>6</v>
      </c>
      <c r="D879" s="2">
        <v>45470.910088159719</v>
      </c>
      <c r="E879" s="4">
        <f t="shared" si="41"/>
        <v>21</v>
      </c>
      <c r="F879" t="s">
        <v>3</v>
      </c>
      <c r="G879" t="s">
        <v>343</v>
      </c>
      <c r="H879" s="3">
        <v>37.72</v>
      </c>
      <c r="I879" t="s">
        <v>43</v>
      </c>
    </row>
    <row r="880" spans="1:9" x14ac:dyDescent="0.3">
      <c r="A880" s="1">
        <v>45471</v>
      </c>
      <c r="B880" s="4">
        <f t="shared" si="39"/>
        <v>2024</v>
      </c>
      <c r="C880" s="4">
        <f t="shared" si="40"/>
        <v>6</v>
      </c>
      <c r="D880" s="2">
        <v>45471.339294490739</v>
      </c>
      <c r="E880" s="4">
        <f t="shared" si="41"/>
        <v>8</v>
      </c>
      <c r="F880" t="s">
        <v>3</v>
      </c>
      <c r="G880" t="s">
        <v>155</v>
      </c>
      <c r="H880" s="3">
        <v>27.92</v>
      </c>
      <c r="I880" t="s">
        <v>28</v>
      </c>
    </row>
    <row r="881" spans="1:9" x14ac:dyDescent="0.3">
      <c r="A881" s="1">
        <v>45471</v>
      </c>
      <c r="B881" s="4">
        <f t="shared" si="39"/>
        <v>2024</v>
      </c>
      <c r="C881" s="4">
        <f t="shared" si="40"/>
        <v>6</v>
      </c>
      <c r="D881" s="2">
        <v>45471.744374918984</v>
      </c>
      <c r="E881" s="4">
        <f t="shared" si="41"/>
        <v>17</v>
      </c>
      <c r="F881" t="s">
        <v>3</v>
      </c>
      <c r="G881" t="s">
        <v>288</v>
      </c>
      <c r="H881" s="3">
        <v>23.02</v>
      </c>
      <c r="I881" t="s">
        <v>35</v>
      </c>
    </row>
    <row r="882" spans="1:9" x14ac:dyDescent="0.3">
      <c r="A882" s="1">
        <v>45471</v>
      </c>
      <c r="B882" s="4">
        <f t="shared" si="39"/>
        <v>2024</v>
      </c>
      <c r="C882" s="4">
        <f t="shared" si="40"/>
        <v>6</v>
      </c>
      <c r="D882" s="2">
        <v>45471.910363136572</v>
      </c>
      <c r="E882" s="4">
        <f t="shared" si="41"/>
        <v>21</v>
      </c>
      <c r="F882" t="s">
        <v>3</v>
      </c>
      <c r="G882" t="s">
        <v>344</v>
      </c>
      <c r="H882" s="3">
        <v>32.82</v>
      </c>
      <c r="I882" t="s">
        <v>14</v>
      </c>
    </row>
    <row r="883" spans="1:9" x14ac:dyDescent="0.3">
      <c r="A883" s="1">
        <v>45471</v>
      </c>
      <c r="B883" s="4">
        <f t="shared" si="39"/>
        <v>2024</v>
      </c>
      <c r="C883" s="4">
        <f t="shared" si="40"/>
        <v>6</v>
      </c>
      <c r="D883" s="2">
        <v>45471.911132719906</v>
      </c>
      <c r="E883" s="4">
        <f t="shared" si="41"/>
        <v>21</v>
      </c>
      <c r="F883" t="s">
        <v>3</v>
      </c>
      <c r="G883" t="s">
        <v>345</v>
      </c>
      <c r="H883" s="3">
        <v>37.72</v>
      </c>
      <c r="I883" t="s">
        <v>7</v>
      </c>
    </row>
    <row r="884" spans="1:9" x14ac:dyDescent="0.3">
      <c r="A884" s="1">
        <v>45471</v>
      </c>
      <c r="B884" s="4">
        <f t="shared" si="39"/>
        <v>2024</v>
      </c>
      <c r="C884" s="4">
        <f t="shared" si="40"/>
        <v>6</v>
      </c>
      <c r="D884" s="2">
        <v>45471.936342314817</v>
      </c>
      <c r="E884" s="4">
        <f t="shared" si="41"/>
        <v>22</v>
      </c>
      <c r="F884" t="s">
        <v>3</v>
      </c>
      <c r="G884" t="s">
        <v>346</v>
      </c>
      <c r="H884" s="3">
        <v>37.72</v>
      </c>
      <c r="I884" t="s">
        <v>43</v>
      </c>
    </row>
    <row r="885" spans="1:9" x14ac:dyDescent="0.3">
      <c r="A885" s="1">
        <v>45472</v>
      </c>
      <c r="B885" s="4">
        <f t="shared" si="39"/>
        <v>2024</v>
      </c>
      <c r="C885" s="4">
        <f t="shared" si="40"/>
        <v>6</v>
      </c>
      <c r="D885" s="2">
        <v>45472.407758148147</v>
      </c>
      <c r="E885" s="4">
        <f t="shared" si="41"/>
        <v>9</v>
      </c>
      <c r="F885" t="s">
        <v>3</v>
      </c>
      <c r="G885" t="s">
        <v>111</v>
      </c>
      <c r="H885" s="3">
        <v>32.82</v>
      </c>
      <c r="I885" t="s">
        <v>14</v>
      </c>
    </row>
    <row r="886" spans="1:9" x14ac:dyDescent="0.3">
      <c r="A886" s="1">
        <v>45472</v>
      </c>
      <c r="B886" s="4">
        <f t="shared" si="39"/>
        <v>2024</v>
      </c>
      <c r="C886" s="4">
        <f t="shared" si="40"/>
        <v>6</v>
      </c>
      <c r="D886" s="2">
        <v>45472.486337754628</v>
      </c>
      <c r="E886" s="4">
        <f t="shared" si="41"/>
        <v>11</v>
      </c>
      <c r="F886" t="s">
        <v>3</v>
      </c>
      <c r="G886" t="s">
        <v>347</v>
      </c>
      <c r="H886" s="3">
        <v>32.82</v>
      </c>
      <c r="I886" t="s">
        <v>14</v>
      </c>
    </row>
    <row r="887" spans="1:9" x14ac:dyDescent="0.3">
      <c r="A887" s="1">
        <v>45472</v>
      </c>
      <c r="B887" s="4">
        <f t="shared" si="39"/>
        <v>2024</v>
      </c>
      <c r="C887" s="4">
        <f t="shared" si="40"/>
        <v>6</v>
      </c>
      <c r="D887" s="2">
        <v>45472.487113530093</v>
      </c>
      <c r="E887" s="4">
        <f t="shared" si="41"/>
        <v>11</v>
      </c>
      <c r="F887" t="s">
        <v>3</v>
      </c>
      <c r="G887" t="s">
        <v>347</v>
      </c>
      <c r="H887" s="3">
        <v>32.82</v>
      </c>
      <c r="I887" t="s">
        <v>14</v>
      </c>
    </row>
    <row r="888" spans="1:9" x14ac:dyDescent="0.3">
      <c r="A888" s="1">
        <v>45472</v>
      </c>
      <c r="B888" s="4">
        <f t="shared" si="39"/>
        <v>2024</v>
      </c>
      <c r="C888" s="4">
        <f t="shared" si="40"/>
        <v>6</v>
      </c>
      <c r="D888" s="2">
        <v>45472.521115254633</v>
      </c>
      <c r="E888" s="4">
        <f t="shared" si="41"/>
        <v>12</v>
      </c>
      <c r="F888" t="s">
        <v>3</v>
      </c>
      <c r="G888" t="s">
        <v>348</v>
      </c>
      <c r="H888" s="3">
        <v>37.72</v>
      </c>
      <c r="I888" t="s">
        <v>43</v>
      </c>
    </row>
    <row r="889" spans="1:9" x14ac:dyDescent="0.3">
      <c r="A889" s="1">
        <v>45472</v>
      </c>
      <c r="B889" s="4">
        <f t="shared" si="39"/>
        <v>2024</v>
      </c>
      <c r="C889" s="4">
        <f t="shared" si="40"/>
        <v>6</v>
      </c>
      <c r="D889" s="2">
        <v>45472.522020625001</v>
      </c>
      <c r="E889" s="4">
        <f t="shared" si="41"/>
        <v>12</v>
      </c>
      <c r="F889" t="s">
        <v>3</v>
      </c>
      <c r="G889" t="s">
        <v>348</v>
      </c>
      <c r="H889" s="3">
        <v>37.72</v>
      </c>
      <c r="I889" t="s">
        <v>43</v>
      </c>
    </row>
    <row r="890" spans="1:9" x14ac:dyDescent="0.3">
      <c r="A890" s="1">
        <v>45472</v>
      </c>
      <c r="B890" s="4">
        <f t="shared" si="39"/>
        <v>2024</v>
      </c>
      <c r="C890" s="4">
        <f t="shared" si="40"/>
        <v>6</v>
      </c>
      <c r="D890" s="2">
        <v>45472.724809988424</v>
      </c>
      <c r="E890" s="4">
        <f t="shared" si="41"/>
        <v>17</v>
      </c>
      <c r="F890" t="s">
        <v>3</v>
      </c>
      <c r="G890" t="s">
        <v>349</v>
      </c>
      <c r="H890" s="3">
        <v>37.72</v>
      </c>
      <c r="I890" t="s">
        <v>43</v>
      </c>
    </row>
    <row r="891" spans="1:9" x14ac:dyDescent="0.3">
      <c r="A891" s="1">
        <v>45472</v>
      </c>
      <c r="B891" s="4">
        <f t="shared" si="39"/>
        <v>2024</v>
      </c>
      <c r="C891" s="4">
        <f t="shared" si="40"/>
        <v>6</v>
      </c>
      <c r="D891" s="2">
        <v>45472.725606215281</v>
      </c>
      <c r="E891" s="4">
        <f t="shared" si="41"/>
        <v>17</v>
      </c>
      <c r="F891" t="s">
        <v>3</v>
      </c>
      <c r="G891" t="s">
        <v>349</v>
      </c>
      <c r="H891" s="3">
        <v>37.72</v>
      </c>
      <c r="I891" t="s">
        <v>9</v>
      </c>
    </row>
    <row r="892" spans="1:9" x14ac:dyDescent="0.3">
      <c r="A892" s="1">
        <v>45472</v>
      </c>
      <c r="B892" s="4">
        <f t="shared" si="39"/>
        <v>2024</v>
      </c>
      <c r="C892" s="4">
        <f t="shared" si="40"/>
        <v>6</v>
      </c>
      <c r="D892" s="2">
        <v>45472.894009826392</v>
      </c>
      <c r="E892" s="4">
        <f t="shared" si="41"/>
        <v>21</v>
      </c>
      <c r="F892" t="s">
        <v>3</v>
      </c>
      <c r="G892" t="s">
        <v>19</v>
      </c>
      <c r="H892" s="3">
        <v>37.72</v>
      </c>
      <c r="I892" t="s">
        <v>7</v>
      </c>
    </row>
    <row r="893" spans="1:9" x14ac:dyDescent="0.3">
      <c r="A893" s="1">
        <v>45473</v>
      </c>
      <c r="B893" s="4">
        <f t="shared" si="39"/>
        <v>2024</v>
      </c>
      <c r="C893" s="4">
        <f t="shared" si="40"/>
        <v>6</v>
      </c>
      <c r="D893" s="2">
        <v>45473.43622502315</v>
      </c>
      <c r="E893" s="4">
        <f t="shared" si="41"/>
        <v>10</v>
      </c>
      <c r="F893" t="s">
        <v>3</v>
      </c>
      <c r="G893" t="s">
        <v>350</v>
      </c>
      <c r="H893" s="3">
        <v>37.72</v>
      </c>
      <c r="I893" t="s">
        <v>7</v>
      </c>
    </row>
    <row r="894" spans="1:9" x14ac:dyDescent="0.3">
      <c r="A894" s="1">
        <v>45473</v>
      </c>
      <c r="B894" s="4">
        <f t="shared" si="39"/>
        <v>2024</v>
      </c>
      <c r="C894" s="4">
        <f t="shared" si="40"/>
        <v>6</v>
      </c>
      <c r="D894" s="2">
        <v>45473.545724768519</v>
      </c>
      <c r="E894" s="4">
        <f t="shared" si="41"/>
        <v>13</v>
      </c>
      <c r="F894" t="s">
        <v>3</v>
      </c>
      <c r="G894" t="s">
        <v>351</v>
      </c>
      <c r="H894" s="3">
        <v>23.02</v>
      </c>
      <c r="I894" t="s">
        <v>35</v>
      </c>
    </row>
    <row r="895" spans="1:9" x14ac:dyDescent="0.3">
      <c r="A895" s="1">
        <v>45473</v>
      </c>
      <c r="B895" s="4">
        <f t="shared" si="39"/>
        <v>2024</v>
      </c>
      <c r="C895" s="4">
        <f t="shared" si="40"/>
        <v>6</v>
      </c>
      <c r="D895" s="2">
        <v>45473.7046490625</v>
      </c>
      <c r="E895" s="4">
        <f t="shared" si="41"/>
        <v>16</v>
      </c>
      <c r="F895" t="s">
        <v>3</v>
      </c>
      <c r="G895" t="s">
        <v>19</v>
      </c>
      <c r="H895" s="3">
        <v>37.72</v>
      </c>
      <c r="I895" t="s">
        <v>9</v>
      </c>
    </row>
    <row r="896" spans="1:9" x14ac:dyDescent="0.3">
      <c r="A896" s="1">
        <v>45473</v>
      </c>
      <c r="B896" s="4">
        <f t="shared" si="39"/>
        <v>2024</v>
      </c>
      <c r="C896" s="4">
        <f t="shared" si="40"/>
        <v>6</v>
      </c>
      <c r="D896" s="2">
        <v>45473.877890578704</v>
      </c>
      <c r="E896" s="4">
        <f t="shared" si="41"/>
        <v>21</v>
      </c>
      <c r="F896" t="s">
        <v>3</v>
      </c>
      <c r="G896" t="s">
        <v>111</v>
      </c>
      <c r="H896" s="3">
        <v>32.82</v>
      </c>
      <c r="I896" t="s">
        <v>14</v>
      </c>
    </row>
    <row r="897" spans="1:9" x14ac:dyDescent="0.3">
      <c r="A897" s="1">
        <v>45474</v>
      </c>
      <c r="B897" s="4">
        <f t="shared" ref="B897:B960" si="42">YEAR(A897)</f>
        <v>2024</v>
      </c>
      <c r="C897" s="4">
        <f t="shared" ref="C897:C960" si="43">MONTH(A897)</f>
        <v>7</v>
      </c>
      <c r="D897" s="2">
        <v>45474.755170833334</v>
      </c>
      <c r="E897" s="4">
        <f t="shared" ref="E897:E960" si="44">HOUR(D897)</f>
        <v>18</v>
      </c>
      <c r="F897" t="s">
        <v>3</v>
      </c>
      <c r="G897" t="s">
        <v>23</v>
      </c>
      <c r="H897" s="3">
        <v>23.02</v>
      </c>
      <c r="I897" t="s">
        <v>35</v>
      </c>
    </row>
    <row r="898" spans="1:9" x14ac:dyDescent="0.3">
      <c r="A898" s="1">
        <v>45474</v>
      </c>
      <c r="B898" s="4">
        <f t="shared" si="42"/>
        <v>2024</v>
      </c>
      <c r="C898" s="4">
        <f t="shared" si="43"/>
        <v>7</v>
      </c>
      <c r="D898" s="2">
        <v>45474.789488935188</v>
      </c>
      <c r="E898" s="4">
        <f t="shared" si="44"/>
        <v>18</v>
      </c>
      <c r="F898" t="s">
        <v>3</v>
      </c>
      <c r="G898" t="s">
        <v>352</v>
      </c>
      <c r="H898" s="3">
        <v>37.72</v>
      </c>
      <c r="I898" t="s">
        <v>43</v>
      </c>
    </row>
    <row r="899" spans="1:9" x14ac:dyDescent="0.3">
      <c r="A899" s="1">
        <v>45474</v>
      </c>
      <c r="B899" s="4">
        <f t="shared" si="42"/>
        <v>2024</v>
      </c>
      <c r="C899" s="4">
        <f t="shared" si="43"/>
        <v>7</v>
      </c>
      <c r="D899" s="2">
        <v>45474.790211423613</v>
      </c>
      <c r="E899" s="4">
        <f t="shared" si="44"/>
        <v>18</v>
      </c>
      <c r="F899" t="s">
        <v>3</v>
      </c>
      <c r="G899" t="s">
        <v>353</v>
      </c>
      <c r="H899" s="3">
        <v>37.72</v>
      </c>
      <c r="I899" t="s">
        <v>43</v>
      </c>
    </row>
    <row r="900" spans="1:9" x14ac:dyDescent="0.3">
      <c r="A900" s="1">
        <v>45475</v>
      </c>
      <c r="B900" s="4">
        <f t="shared" si="42"/>
        <v>2024</v>
      </c>
      <c r="C900" s="4">
        <f t="shared" si="43"/>
        <v>7</v>
      </c>
      <c r="D900" s="2">
        <v>45475.446458993058</v>
      </c>
      <c r="E900" s="4">
        <f t="shared" si="44"/>
        <v>10</v>
      </c>
      <c r="F900" t="s">
        <v>3</v>
      </c>
      <c r="G900" t="s">
        <v>318</v>
      </c>
      <c r="H900" s="3">
        <v>32.82</v>
      </c>
      <c r="I900" t="s">
        <v>14</v>
      </c>
    </row>
    <row r="901" spans="1:9" x14ac:dyDescent="0.3">
      <c r="A901" s="1">
        <v>45475</v>
      </c>
      <c r="B901" s="4">
        <f t="shared" si="42"/>
        <v>2024</v>
      </c>
      <c r="C901" s="4">
        <f t="shared" si="43"/>
        <v>7</v>
      </c>
      <c r="D901" s="2">
        <v>45475.447923807871</v>
      </c>
      <c r="E901" s="4">
        <f t="shared" si="44"/>
        <v>10</v>
      </c>
      <c r="F901" t="s">
        <v>3</v>
      </c>
      <c r="G901" t="s">
        <v>318</v>
      </c>
      <c r="H901" s="3">
        <v>27.92</v>
      </c>
      <c r="I901" t="s">
        <v>11</v>
      </c>
    </row>
    <row r="902" spans="1:9" x14ac:dyDescent="0.3">
      <c r="A902" s="1">
        <v>45475</v>
      </c>
      <c r="B902" s="4">
        <f t="shared" si="42"/>
        <v>2024</v>
      </c>
      <c r="C902" s="4">
        <f t="shared" si="43"/>
        <v>7</v>
      </c>
      <c r="D902" s="2">
        <v>45475.53339329861</v>
      </c>
      <c r="E902" s="4">
        <f t="shared" si="44"/>
        <v>12</v>
      </c>
      <c r="F902" t="s">
        <v>3</v>
      </c>
      <c r="G902" t="s">
        <v>31</v>
      </c>
      <c r="H902" s="3">
        <v>37.72</v>
      </c>
      <c r="I902" t="s">
        <v>7</v>
      </c>
    </row>
    <row r="903" spans="1:9" x14ac:dyDescent="0.3">
      <c r="A903" s="1">
        <v>45475</v>
      </c>
      <c r="B903" s="4">
        <f t="shared" si="42"/>
        <v>2024</v>
      </c>
      <c r="C903" s="4">
        <f t="shared" si="43"/>
        <v>7</v>
      </c>
      <c r="D903" s="2">
        <v>45475.585569803239</v>
      </c>
      <c r="E903" s="4">
        <f t="shared" si="44"/>
        <v>14</v>
      </c>
      <c r="F903" t="s">
        <v>3</v>
      </c>
      <c r="G903" t="s">
        <v>354</v>
      </c>
      <c r="H903" s="3">
        <v>27.92</v>
      </c>
      <c r="I903" t="s">
        <v>11</v>
      </c>
    </row>
    <row r="904" spans="1:9" x14ac:dyDescent="0.3">
      <c r="A904" s="1">
        <v>45475</v>
      </c>
      <c r="B904" s="4">
        <f t="shared" si="42"/>
        <v>2024</v>
      </c>
      <c r="C904" s="4">
        <f t="shared" si="43"/>
        <v>7</v>
      </c>
      <c r="D904" s="2">
        <v>45475.688476122683</v>
      </c>
      <c r="E904" s="4">
        <f t="shared" si="44"/>
        <v>16</v>
      </c>
      <c r="F904" t="s">
        <v>3</v>
      </c>
      <c r="G904" t="s">
        <v>355</v>
      </c>
      <c r="H904" s="3">
        <v>32.82</v>
      </c>
      <c r="I904" t="s">
        <v>14</v>
      </c>
    </row>
    <row r="905" spans="1:9" x14ac:dyDescent="0.3">
      <c r="A905" s="1">
        <v>45475</v>
      </c>
      <c r="B905" s="4">
        <f t="shared" si="42"/>
        <v>2024</v>
      </c>
      <c r="C905" s="4">
        <f t="shared" si="43"/>
        <v>7</v>
      </c>
      <c r="D905" s="2">
        <v>45475.918328425927</v>
      </c>
      <c r="E905" s="4">
        <f t="shared" si="44"/>
        <v>22</v>
      </c>
      <c r="F905" t="s">
        <v>3</v>
      </c>
      <c r="G905" t="s">
        <v>343</v>
      </c>
      <c r="H905" s="3">
        <v>32.82</v>
      </c>
      <c r="I905" t="s">
        <v>14</v>
      </c>
    </row>
    <row r="906" spans="1:9" x14ac:dyDescent="0.3">
      <c r="A906" s="1">
        <v>45476</v>
      </c>
      <c r="B906" s="4">
        <f t="shared" si="42"/>
        <v>2024</v>
      </c>
      <c r="C906" s="4">
        <f t="shared" si="43"/>
        <v>7</v>
      </c>
      <c r="D906" s="2">
        <v>45476.577256192133</v>
      </c>
      <c r="E906" s="4">
        <f t="shared" si="44"/>
        <v>13</v>
      </c>
      <c r="F906" t="s">
        <v>3</v>
      </c>
      <c r="G906" t="s">
        <v>23</v>
      </c>
      <c r="H906" s="3">
        <v>32.82</v>
      </c>
      <c r="I906" t="s">
        <v>14</v>
      </c>
    </row>
    <row r="907" spans="1:9" x14ac:dyDescent="0.3">
      <c r="A907" s="1">
        <v>45476</v>
      </c>
      <c r="B907" s="4">
        <f t="shared" si="42"/>
        <v>2024</v>
      </c>
      <c r="C907" s="4">
        <f t="shared" si="43"/>
        <v>7</v>
      </c>
      <c r="D907" s="2">
        <v>45476.667552708335</v>
      </c>
      <c r="E907" s="4">
        <f t="shared" si="44"/>
        <v>16</v>
      </c>
      <c r="F907" t="s">
        <v>3</v>
      </c>
      <c r="G907" t="s">
        <v>356</v>
      </c>
      <c r="H907" s="3">
        <v>37.72</v>
      </c>
      <c r="I907" t="s">
        <v>43</v>
      </c>
    </row>
    <row r="908" spans="1:9" x14ac:dyDescent="0.3">
      <c r="A908" s="1">
        <v>45476</v>
      </c>
      <c r="B908" s="4">
        <f t="shared" si="42"/>
        <v>2024</v>
      </c>
      <c r="C908" s="4">
        <f t="shared" si="43"/>
        <v>7</v>
      </c>
      <c r="D908" s="2">
        <v>45476.70168082176</v>
      </c>
      <c r="E908" s="4">
        <f t="shared" si="44"/>
        <v>16</v>
      </c>
      <c r="F908" t="s">
        <v>3</v>
      </c>
      <c r="G908" t="s">
        <v>357</v>
      </c>
      <c r="H908" s="3">
        <v>37.72</v>
      </c>
      <c r="I908" t="s">
        <v>43</v>
      </c>
    </row>
    <row r="909" spans="1:9" x14ac:dyDescent="0.3">
      <c r="A909" s="1">
        <v>45476</v>
      </c>
      <c r="B909" s="4">
        <f t="shared" si="42"/>
        <v>2024</v>
      </c>
      <c r="C909" s="4">
        <f t="shared" si="43"/>
        <v>7</v>
      </c>
      <c r="D909" s="2">
        <v>45476.703652986114</v>
      </c>
      <c r="E909" s="4">
        <f t="shared" si="44"/>
        <v>16</v>
      </c>
      <c r="F909" t="s">
        <v>3</v>
      </c>
      <c r="G909" t="s">
        <v>284</v>
      </c>
      <c r="H909" s="3">
        <v>32.82</v>
      </c>
      <c r="I909" t="s">
        <v>14</v>
      </c>
    </row>
    <row r="910" spans="1:9" x14ac:dyDescent="0.3">
      <c r="A910" s="1">
        <v>45476</v>
      </c>
      <c r="B910" s="4">
        <f t="shared" si="42"/>
        <v>2024</v>
      </c>
      <c r="C910" s="4">
        <f t="shared" si="43"/>
        <v>7</v>
      </c>
      <c r="D910" s="2">
        <v>45476.70443179398</v>
      </c>
      <c r="E910" s="4">
        <f t="shared" si="44"/>
        <v>16</v>
      </c>
      <c r="F910" t="s">
        <v>3</v>
      </c>
      <c r="G910" t="s">
        <v>358</v>
      </c>
      <c r="H910" s="3">
        <v>32.82</v>
      </c>
      <c r="I910" t="s">
        <v>14</v>
      </c>
    </row>
    <row r="911" spans="1:9" x14ac:dyDescent="0.3">
      <c r="A911" s="1">
        <v>45476</v>
      </c>
      <c r="B911" s="4">
        <f t="shared" si="42"/>
        <v>2024</v>
      </c>
      <c r="C911" s="4">
        <f t="shared" si="43"/>
        <v>7</v>
      </c>
      <c r="D911" s="2">
        <v>45476.705224803241</v>
      </c>
      <c r="E911" s="4">
        <f t="shared" si="44"/>
        <v>16</v>
      </c>
      <c r="F911" t="s">
        <v>3</v>
      </c>
      <c r="G911" t="s">
        <v>284</v>
      </c>
      <c r="H911" s="3">
        <v>37.72</v>
      </c>
      <c r="I911" t="s">
        <v>7</v>
      </c>
    </row>
    <row r="912" spans="1:9" x14ac:dyDescent="0.3">
      <c r="A912" s="1">
        <v>45476</v>
      </c>
      <c r="B912" s="4">
        <f t="shared" si="42"/>
        <v>2024</v>
      </c>
      <c r="C912" s="4">
        <f t="shared" si="43"/>
        <v>7</v>
      </c>
      <c r="D912" s="2">
        <v>45476.707934953702</v>
      </c>
      <c r="E912" s="4">
        <f t="shared" si="44"/>
        <v>16</v>
      </c>
      <c r="F912" t="s">
        <v>3</v>
      </c>
      <c r="G912" t="s">
        <v>359</v>
      </c>
      <c r="H912" s="3">
        <v>23.02</v>
      </c>
      <c r="I912" t="s">
        <v>35</v>
      </c>
    </row>
    <row r="913" spans="1:9" x14ac:dyDescent="0.3">
      <c r="A913" s="1">
        <v>45476</v>
      </c>
      <c r="B913" s="4">
        <f t="shared" si="42"/>
        <v>2024</v>
      </c>
      <c r="C913" s="4">
        <f t="shared" si="43"/>
        <v>7</v>
      </c>
      <c r="D913" s="2">
        <v>45476.749326701392</v>
      </c>
      <c r="E913" s="4">
        <f t="shared" si="44"/>
        <v>17</v>
      </c>
      <c r="F913" t="s">
        <v>3</v>
      </c>
      <c r="G913" t="s">
        <v>360</v>
      </c>
      <c r="H913" s="3">
        <v>37.72</v>
      </c>
      <c r="I913" t="s">
        <v>43</v>
      </c>
    </row>
    <row r="914" spans="1:9" x14ac:dyDescent="0.3">
      <c r="A914" s="1">
        <v>45476</v>
      </c>
      <c r="B914" s="4">
        <f t="shared" si="42"/>
        <v>2024</v>
      </c>
      <c r="C914" s="4">
        <f t="shared" si="43"/>
        <v>7</v>
      </c>
      <c r="D914" s="2">
        <v>45476.795939074073</v>
      </c>
      <c r="E914" s="4">
        <f t="shared" si="44"/>
        <v>19</v>
      </c>
      <c r="F914" t="s">
        <v>3</v>
      </c>
      <c r="G914" t="s">
        <v>19</v>
      </c>
      <c r="H914" s="3">
        <v>37.72</v>
      </c>
      <c r="I914" t="s">
        <v>7</v>
      </c>
    </row>
    <row r="915" spans="1:9" x14ac:dyDescent="0.3">
      <c r="A915" s="1">
        <v>45477</v>
      </c>
      <c r="B915" s="4">
        <f t="shared" si="42"/>
        <v>2024</v>
      </c>
      <c r="C915" s="4">
        <f t="shared" si="43"/>
        <v>7</v>
      </c>
      <c r="D915" s="2">
        <v>45477.43499681713</v>
      </c>
      <c r="E915" s="4">
        <f t="shared" si="44"/>
        <v>10</v>
      </c>
      <c r="F915" t="s">
        <v>3</v>
      </c>
      <c r="G915" t="s">
        <v>157</v>
      </c>
      <c r="H915" s="3">
        <v>32.82</v>
      </c>
      <c r="I915" t="s">
        <v>14</v>
      </c>
    </row>
    <row r="916" spans="1:9" x14ac:dyDescent="0.3">
      <c r="A916" s="1">
        <v>45477</v>
      </c>
      <c r="B916" s="4">
        <f t="shared" si="42"/>
        <v>2024</v>
      </c>
      <c r="C916" s="4">
        <f t="shared" si="43"/>
        <v>7</v>
      </c>
      <c r="D916" s="2">
        <v>45477.435766909723</v>
      </c>
      <c r="E916" s="4">
        <f t="shared" si="44"/>
        <v>10</v>
      </c>
      <c r="F916" t="s">
        <v>3</v>
      </c>
      <c r="G916" t="s">
        <v>23</v>
      </c>
      <c r="H916" s="3">
        <v>27.92</v>
      </c>
      <c r="I916" t="s">
        <v>11</v>
      </c>
    </row>
    <row r="917" spans="1:9" x14ac:dyDescent="0.3">
      <c r="A917" s="1">
        <v>45478</v>
      </c>
      <c r="B917" s="4">
        <f t="shared" si="42"/>
        <v>2024</v>
      </c>
      <c r="C917" s="4">
        <f t="shared" si="43"/>
        <v>7</v>
      </c>
      <c r="D917" s="2">
        <v>45478.514220717596</v>
      </c>
      <c r="E917" s="4">
        <f t="shared" si="44"/>
        <v>12</v>
      </c>
      <c r="F917" t="s">
        <v>3</v>
      </c>
      <c r="G917" t="s">
        <v>72</v>
      </c>
      <c r="H917" s="3">
        <v>37.72</v>
      </c>
      <c r="I917" t="s">
        <v>18</v>
      </c>
    </row>
    <row r="918" spans="1:9" x14ac:dyDescent="0.3">
      <c r="A918" s="1">
        <v>45478</v>
      </c>
      <c r="B918" s="4">
        <f t="shared" si="42"/>
        <v>2024</v>
      </c>
      <c r="C918" s="4">
        <f t="shared" si="43"/>
        <v>7</v>
      </c>
      <c r="D918" s="2">
        <v>45478.572027013892</v>
      </c>
      <c r="E918" s="4">
        <f t="shared" si="44"/>
        <v>13</v>
      </c>
      <c r="F918" t="s">
        <v>3</v>
      </c>
      <c r="G918" t="s">
        <v>54</v>
      </c>
      <c r="H918" s="3">
        <v>32.82</v>
      </c>
      <c r="I918" t="s">
        <v>14</v>
      </c>
    </row>
    <row r="919" spans="1:9" x14ac:dyDescent="0.3">
      <c r="A919" s="1">
        <v>45478</v>
      </c>
      <c r="B919" s="4">
        <f t="shared" si="42"/>
        <v>2024</v>
      </c>
      <c r="C919" s="4">
        <f t="shared" si="43"/>
        <v>7</v>
      </c>
      <c r="D919" s="2">
        <v>45478.572729502317</v>
      </c>
      <c r="E919" s="4">
        <f t="shared" si="44"/>
        <v>13</v>
      </c>
      <c r="F919" t="s">
        <v>3</v>
      </c>
      <c r="G919" t="s">
        <v>361</v>
      </c>
      <c r="H919" s="3">
        <v>32.82</v>
      </c>
      <c r="I919" t="s">
        <v>14</v>
      </c>
    </row>
    <row r="920" spans="1:9" x14ac:dyDescent="0.3">
      <c r="A920" s="1">
        <v>45478</v>
      </c>
      <c r="B920" s="4">
        <f t="shared" si="42"/>
        <v>2024</v>
      </c>
      <c r="C920" s="4">
        <f t="shared" si="43"/>
        <v>7</v>
      </c>
      <c r="D920" s="2">
        <v>45478.788846157404</v>
      </c>
      <c r="E920" s="4">
        <f t="shared" si="44"/>
        <v>18</v>
      </c>
      <c r="F920" t="s">
        <v>3</v>
      </c>
      <c r="G920" t="s">
        <v>362</v>
      </c>
      <c r="H920" s="3">
        <v>23.02</v>
      </c>
      <c r="I920" t="s">
        <v>35</v>
      </c>
    </row>
    <row r="921" spans="1:9" x14ac:dyDescent="0.3">
      <c r="A921" s="1">
        <v>45478</v>
      </c>
      <c r="B921" s="4">
        <f t="shared" si="42"/>
        <v>2024</v>
      </c>
      <c r="C921" s="4">
        <f t="shared" si="43"/>
        <v>7</v>
      </c>
      <c r="D921" s="2">
        <v>45478.829951527776</v>
      </c>
      <c r="E921" s="4">
        <f t="shared" si="44"/>
        <v>19</v>
      </c>
      <c r="F921" t="s">
        <v>3</v>
      </c>
      <c r="G921" t="s">
        <v>113</v>
      </c>
      <c r="H921" s="3">
        <v>27.92</v>
      </c>
      <c r="I921" t="s">
        <v>11</v>
      </c>
    </row>
    <row r="922" spans="1:9" x14ac:dyDescent="0.3">
      <c r="A922" s="1">
        <v>45478</v>
      </c>
      <c r="B922" s="4">
        <f t="shared" si="42"/>
        <v>2024</v>
      </c>
      <c r="C922" s="4">
        <f t="shared" si="43"/>
        <v>7</v>
      </c>
      <c r="D922" s="2">
        <v>45478.924959155091</v>
      </c>
      <c r="E922" s="4">
        <f t="shared" si="44"/>
        <v>22</v>
      </c>
      <c r="F922" t="s">
        <v>3</v>
      </c>
      <c r="G922" t="s">
        <v>363</v>
      </c>
      <c r="H922" s="3">
        <v>23.02</v>
      </c>
      <c r="I922" t="s">
        <v>35</v>
      </c>
    </row>
    <row r="923" spans="1:9" x14ac:dyDescent="0.3">
      <c r="A923" s="1">
        <v>45478</v>
      </c>
      <c r="B923" s="4">
        <f t="shared" si="42"/>
        <v>2024</v>
      </c>
      <c r="C923" s="4">
        <f t="shared" si="43"/>
        <v>7</v>
      </c>
      <c r="D923" s="2">
        <v>45478.929205138891</v>
      </c>
      <c r="E923" s="4">
        <f t="shared" si="44"/>
        <v>22</v>
      </c>
      <c r="F923" t="s">
        <v>3</v>
      </c>
      <c r="G923" t="s">
        <v>364</v>
      </c>
      <c r="H923" s="3">
        <v>27.92</v>
      </c>
      <c r="I923" t="s">
        <v>11</v>
      </c>
    </row>
    <row r="924" spans="1:9" x14ac:dyDescent="0.3">
      <c r="A924" s="1">
        <v>45478</v>
      </c>
      <c r="B924" s="4">
        <f t="shared" si="42"/>
        <v>2024</v>
      </c>
      <c r="C924" s="4">
        <f t="shared" si="43"/>
        <v>7</v>
      </c>
      <c r="D924" s="2">
        <v>45478.929825752311</v>
      </c>
      <c r="E924" s="4">
        <f t="shared" si="44"/>
        <v>22</v>
      </c>
      <c r="F924" t="s">
        <v>3</v>
      </c>
      <c r="G924" t="s">
        <v>364</v>
      </c>
      <c r="H924" s="3">
        <v>27.92</v>
      </c>
      <c r="I924" t="s">
        <v>11</v>
      </c>
    </row>
    <row r="925" spans="1:9" x14ac:dyDescent="0.3">
      <c r="A925" s="1">
        <v>45478</v>
      </c>
      <c r="B925" s="4">
        <f t="shared" si="42"/>
        <v>2024</v>
      </c>
      <c r="C925" s="4">
        <f t="shared" si="43"/>
        <v>7</v>
      </c>
      <c r="D925" s="2">
        <v>45478.930568854164</v>
      </c>
      <c r="E925" s="4">
        <f t="shared" si="44"/>
        <v>22</v>
      </c>
      <c r="F925" t="s">
        <v>3</v>
      </c>
      <c r="G925" t="s">
        <v>365</v>
      </c>
      <c r="H925" s="3">
        <v>37.72</v>
      </c>
      <c r="I925" t="s">
        <v>43</v>
      </c>
    </row>
    <row r="926" spans="1:9" x14ac:dyDescent="0.3">
      <c r="A926" s="1">
        <v>45478</v>
      </c>
      <c r="B926" s="4">
        <f t="shared" si="42"/>
        <v>2024</v>
      </c>
      <c r="C926" s="4">
        <f t="shared" si="43"/>
        <v>7</v>
      </c>
      <c r="D926" s="2">
        <v>45478.931359456015</v>
      </c>
      <c r="E926" s="4">
        <f t="shared" si="44"/>
        <v>22</v>
      </c>
      <c r="F926" t="s">
        <v>3</v>
      </c>
      <c r="G926" t="s">
        <v>365</v>
      </c>
      <c r="H926" s="3">
        <v>32.82</v>
      </c>
      <c r="I926" t="s">
        <v>14</v>
      </c>
    </row>
    <row r="927" spans="1:9" x14ac:dyDescent="0.3">
      <c r="A927" s="1">
        <v>45479</v>
      </c>
      <c r="B927" s="4">
        <f t="shared" si="42"/>
        <v>2024</v>
      </c>
      <c r="C927" s="4">
        <f t="shared" si="43"/>
        <v>7</v>
      </c>
      <c r="D927" s="2">
        <v>45479.436190115739</v>
      </c>
      <c r="E927" s="4">
        <f t="shared" si="44"/>
        <v>10</v>
      </c>
      <c r="F927" t="s">
        <v>3</v>
      </c>
      <c r="G927" t="s">
        <v>366</v>
      </c>
      <c r="H927" s="3">
        <v>37.72</v>
      </c>
      <c r="I927" t="s">
        <v>7</v>
      </c>
    </row>
    <row r="928" spans="1:9" x14ac:dyDescent="0.3">
      <c r="A928" s="1">
        <v>45479</v>
      </c>
      <c r="B928" s="4">
        <f t="shared" si="42"/>
        <v>2024</v>
      </c>
      <c r="C928" s="4">
        <f t="shared" si="43"/>
        <v>7</v>
      </c>
      <c r="D928" s="2">
        <v>45479.719282893515</v>
      </c>
      <c r="E928" s="4">
        <f t="shared" si="44"/>
        <v>17</v>
      </c>
      <c r="F928" t="s">
        <v>3</v>
      </c>
      <c r="G928" t="s">
        <v>19</v>
      </c>
      <c r="H928" s="3">
        <v>32.82</v>
      </c>
      <c r="I928" t="s">
        <v>7</v>
      </c>
    </row>
    <row r="929" spans="1:9" x14ac:dyDescent="0.3">
      <c r="A929" s="1">
        <v>45479</v>
      </c>
      <c r="B929" s="4">
        <f t="shared" si="42"/>
        <v>2024</v>
      </c>
      <c r="C929" s="4">
        <f t="shared" si="43"/>
        <v>7</v>
      </c>
      <c r="D929" s="2">
        <v>45479.720150995374</v>
      </c>
      <c r="E929" s="4">
        <f t="shared" si="44"/>
        <v>17</v>
      </c>
      <c r="F929" t="s">
        <v>3</v>
      </c>
      <c r="G929" t="s">
        <v>19</v>
      </c>
      <c r="H929" s="3">
        <v>32.82</v>
      </c>
      <c r="I929" t="s">
        <v>7</v>
      </c>
    </row>
    <row r="930" spans="1:9" x14ac:dyDescent="0.3">
      <c r="A930" s="1">
        <v>45479</v>
      </c>
      <c r="B930" s="4">
        <f t="shared" si="42"/>
        <v>2024</v>
      </c>
      <c r="C930" s="4">
        <f t="shared" si="43"/>
        <v>7</v>
      </c>
      <c r="D930" s="2">
        <v>45479.798450312497</v>
      </c>
      <c r="E930" s="4">
        <f t="shared" si="44"/>
        <v>19</v>
      </c>
      <c r="F930" t="s">
        <v>3</v>
      </c>
      <c r="G930" t="s">
        <v>23</v>
      </c>
      <c r="H930" s="3">
        <v>32.82</v>
      </c>
      <c r="I930" t="s">
        <v>7</v>
      </c>
    </row>
    <row r="931" spans="1:9" x14ac:dyDescent="0.3">
      <c r="A931" s="1">
        <v>45479</v>
      </c>
      <c r="B931" s="4">
        <f t="shared" si="42"/>
        <v>2024</v>
      </c>
      <c r="C931" s="4">
        <f t="shared" si="43"/>
        <v>7</v>
      </c>
      <c r="D931" s="2">
        <v>45479.799069212961</v>
      </c>
      <c r="E931" s="4">
        <f t="shared" si="44"/>
        <v>19</v>
      </c>
      <c r="F931" t="s">
        <v>3</v>
      </c>
      <c r="G931" t="s">
        <v>23</v>
      </c>
      <c r="H931" s="3">
        <v>27.92</v>
      </c>
      <c r="I931" t="s">
        <v>14</v>
      </c>
    </row>
    <row r="932" spans="1:9" x14ac:dyDescent="0.3">
      <c r="A932" s="1">
        <v>45480</v>
      </c>
      <c r="B932" s="4">
        <f t="shared" si="42"/>
        <v>2024</v>
      </c>
      <c r="C932" s="4">
        <f t="shared" si="43"/>
        <v>7</v>
      </c>
      <c r="D932" s="2">
        <v>45480.378011215274</v>
      </c>
      <c r="E932" s="4">
        <f t="shared" si="44"/>
        <v>9</v>
      </c>
      <c r="F932" t="s">
        <v>3</v>
      </c>
      <c r="G932" t="s">
        <v>317</v>
      </c>
      <c r="H932" s="3">
        <v>32.82</v>
      </c>
      <c r="I932" t="s">
        <v>43</v>
      </c>
    </row>
    <row r="933" spans="1:9" x14ac:dyDescent="0.3">
      <c r="A933" s="1">
        <v>45480</v>
      </c>
      <c r="B933" s="4">
        <f t="shared" si="42"/>
        <v>2024</v>
      </c>
      <c r="C933" s="4">
        <f t="shared" si="43"/>
        <v>7</v>
      </c>
      <c r="D933" s="2">
        <v>45480.385060474538</v>
      </c>
      <c r="E933" s="4">
        <f t="shared" si="44"/>
        <v>9</v>
      </c>
      <c r="F933" t="s">
        <v>3</v>
      </c>
      <c r="G933" t="s">
        <v>367</v>
      </c>
      <c r="H933" s="3">
        <v>27.92</v>
      </c>
      <c r="I933" t="s">
        <v>14</v>
      </c>
    </row>
    <row r="934" spans="1:9" x14ac:dyDescent="0.3">
      <c r="A934" s="1">
        <v>45480</v>
      </c>
      <c r="B934" s="4">
        <f t="shared" si="42"/>
        <v>2024</v>
      </c>
      <c r="C934" s="4">
        <f t="shared" si="43"/>
        <v>7</v>
      </c>
      <c r="D934" s="2">
        <v>45480.385842766205</v>
      </c>
      <c r="E934" s="4">
        <f t="shared" si="44"/>
        <v>9</v>
      </c>
      <c r="F934" t="s">
        <v>3</v>
      </c>
      <c r="G934" t="s">
        <v>367</v>
      </c>
      <c r="H934" s="3">
        <v>27.92</v>
      </c>
      <c r="I934" t="s">
        <v>14</v>
      </c>
    </row>
    <row r="935" spans="1:9" x14ac:dyDescent="0.3">
      <c r="A935" s="1">
        <v>45480</v>
      </c>
      <c r="B935" s="4">
        <f t="shared" si="42"/>
        <v>2024</v>
      </c>
      <c r="C935" s="4">
        <f t="shared" si="43"/>
        <v>7</v>
      </c>
      <c r="D935" s="2">
        <v>45480.395010138891</v>
      </c>
      <c r="E935" s="4">
        <f t="shared" si="44"/>
        <v>9</v>
      </c>
      <c r="F935" t="s">
        <v>3</v>
      </c>
      <c r="G935" t="s">
        <v>368</v>
      </c>
      <c r="H935" s="3">
        <v>32.82</v>
      </c>
      <c r="I935" t="s">
        <v>43</v>
      </c>
    </row>
    <row r="936" spans="1:9" x14ac:dyDescent="0.3">
      <c r="A936" s="1">
        <v>45480</v>
      </c>
      <c r="B936" s="4">
        <f t="shared" si="42"/>
        <v>2024</v>
      </c>
      <c r="C936" s="4">
        <f t="shared" si="43"/>
        <v>7</v>
      </c>
      <c r="D936" s="2">
        <v>45480.395789224538</v>
      </c>
      <c r="E936" s="4">
        <f t="shared" si="44"/>
        <v>9</v>
      </c>
      <c r="F936" t="s">
        <v>3</v>
      </c>
      <c r="G936" t="s">
        <v>368</v>
      </c>
      <c r="H936" s="3">
        <v>32.82</v>
      </c>
      <c r="I936" t="s">
        <v>43</v>
      </c>
    </row>
    <row r="937" spans="1:9" x14ac:dyDescent="0.3">
      <c r="A937" s="1">
        <v>45480</v>
      </c>
      <c r="B937" s="4">
        <f t="shared" si="42"/>
        <v>2024</v>
      </c>
      <c r="C937" s="4">
        <f t="shared" si="43"/>
        <v>7</v>
      </c>
      <c r="D937" s="2">
        <v>45480.622571678243</v>
      </c>
      <c r="E937" s="4">
        <f t="shared" si="44"/>
        <v>14</v>
      </c>
      <c r="F937" t="s">
        <v>3</v>
      </c>
      <c r="G937" t="s">
        <v>369</v>
      </c>
      <c r="H937" s="3">
        <v>32.82</v>
      </c>
      <c r="I937" t="s">
        <v>9</v>
      </c>
    </row>
    <row r="938" spans="1:9" x14ac:dyDescent="0.3">
      <c r="A938" s="1">
        <v>45480</v>
      </c>
      <c r="B938" s="4">
        <f t="shared" si="42"/>
        <v>2024</v>
      </c>
      <c r="C938" s="4">
        <f t="shared" si="43"/>
        <v>7</v>
      </c>
      <c r="D938" s="2">
        <v>45480.623465405093</v>
      </c>
      <c r="E938" s="4">
        <f t="shared" si="44"/>
        <v>14</v>
      </c>
      <c r="F938" t="s">
        <v>3</v>
      </c>
      <c r="G938" t="s">
        <v>369</v>
      </c>
      <c r="H938" s="3">
        <v>32.82</v>
      </c>
      <c r="I938" t="s">
        <v>18</v>
      </c>
    </row>
    <row r="939" spans="1:9" x14ac:dyDescent="0.3">
      <c r="A939" s="1">
        <v>45480</v>
      </c>
      <c r="B939" s="4">
        <f t="shared" si="42"/>
        <v>2024</v>
      </c>
      <c r="C939" s="4">
        <f t="shared" si="43"/>
        <v>7</v>
      </c>
      <c r="D939" s="2">
        <v>45480.713776435186</v>
      </c>
      <c r="E939" s="4">
        <f t="shared" si="44"/>
        <v>17</v>
      </c>
      <c r="F939" t="s">
        <v>3</v>
      </c>
      <c r="G939" t="s">
        <v>370</v>
      </c>
      <c r="H939" s="3">
        <v>32.82</v>
      </c>
      <c r="I939" t="s">
        <v>7</v>
      </c>
    </row>
    <row r="940" spans="1:9" x14ac:dyDescent="0.3">
      <c r="A940" s="1">
        <v>45480</v>
      </c>
      <c r="B940" s="4">
        <f t="shared" si="42"/>
        <v>2024</v>
      </c>
      <c r="C940" s="4">
        <f t="shared" si="43"/>
        <v>7</v>
      </c>
      <c r="D940" s="2">
        <v>45480.814897997683</v>
      </c>
      <c r="E940" s="4">
        <f t="shared" si="44"/>
        <v>19</v>
      </c>
      <c r="F940" t="s">
        <v>3</v>
      </c>
      <c r="G940" t="s">
        <v>371</v>
      </c>
      <c r="H940" s="3">
        <v>32.82</v>
      </c>
      <c r="I940" t="s">
        <v>43</v>
      </c>
    </row>
    <row r="941" spans="1:9" x14ac:dyDescent="0.3">
      <c r="A941" s="1">
        <v>45480</v>
      </c>
      <c r="B941" s="4">
        <f t="shared" si="42"/>
        <v>2024</v>
      </c>
      <c r="C941" s="4">
        <f t="shared" si="43"/>
        <v>7</v>
      </c>
      <c r="D941" s="2">
        <v>45480.834394131947</v>
      </c>
      <c r="E941" s="4">
        <f t="shared" si="44"/>
        <v>20</v>
      </c>
      <c r="F941" t="s">
        <v>3</v>
      </c>
      <c r="G941" t="s">
        <v>372</v>
      </c>
      <c r="H941" s="3">
        <v>32.82</v>
      </c>
      <c r="I941" t="s">
        <v>9</v>
      </c>
    </row>
    <row r="942" spans="1:9" x14ac:dyDescent="0.3">
      <c r="A942" s="1">
        <v>45480</v>
      </c>
      <c r="B942" s="4">
        <f t="shared" si="42"/>
        <v>2024</v>
      </c>
      <c r="C942" s="4">
        <f t="shared" si="43"/>
        <v>7</v>
      </c>
      <c r="D942" s="2">
        <v>45480.940002951385</v>
      </c>
      <c r="E942" s="4">
        <f t="shared" si="44"/>
        <v>22</v>
      </c>
      <c r="F942" t="s">
        <v>3</v>
      </c>
      <c r="G942" t="s">
        <v>373</v>
      </c>
      <c r="H942" s="3">
        <v>27.92</v>
      </c>
      <c r="I942" t="s">
        <v>14</v>
      </c>
    </row>
    <row r="943" spans="1:9" x14ac:dyDescent="0.3">
      <c r="A943" s="1">
        <v>45481</v>
      </c>
      <c r="B943" s="4">
        <f t="shared" si="42"/>
        <v>2024</v>
      </c>
      <c r="C943" s="4">
        <f t="shared" si="43"/>
        <v>7</v>
      </c>
      <c r="D943" s="2">
        <v>45481.314672731482</v>
      </c>
      <c r="E943" s="4">
        <f t="shared" si="44"/>
        <v>7</v>
      </c>
      <c r="F943" t="s">
        <v>3</v>
      </c>
      <c r="G943" t="s">
        <v>374</v>
      </c>
      <c r="H943" s="3">
        <v>32.82</v>
      </c>
      <c r="I943" t="s">
        <v>7</v>
      </c>
    </row>
    <row r="944" spans="1:9" x14ac:dyDescent="0.3">
      <c r="A944" s="1">
        <v>45481</v>
      </c>
      <c r="B944" s="4">
        <f t="shared" si="42"/>
        <v>2024</v>
      </c>
      <c r="C944" s="4">
        <f t="shared" si="43"/>
        <v>7</v>
      </c>
      <c r="D944" s="2">
        <v>45481.501972465281</v>
      </c>
      <c r="E944" s="4">
        <f t="shared" si="44"/>
        <v>12</v>
      </c>
      <c r="F944" t="s">
        <v>3</v>
      </c>
      <c r="G944" t="s">
        <v>375</v>
      </c>
      <c r="H944" s="3">
        <v>23.02</v>
      </c>
      <c r="I944" t="s">
        <v>11</v>
      </c>
    </row>
    <row r="945" spans="1:9" x14ac:dyDescent="0.3">
      <c r="A945" s="1">
        <v>45481</v>
      </c>
      <c r="B945" s="4">
        <f t="shared" si="42"/>
        <v>2024</v>
      </c>
      <c r="C945" s="4">
        <f t="shared" si="43"/>
        <v>7</v>
      </c>
      <c r="D945" s="2">
        <v>45481.611392939813</v>
      </c>
      <c r="E945" s="4">
        <f t="shared" si="44"/>
        <v>14</v>
      </c>
      <c r="F945" t="s">
        <v>3</v>
      </c>
      <c r="G945" t="s">
        <v>376</v>
      </c>
      <c r="H945" s="3">
        <v>23.02</v>
      </c>
      <c r="I945" t="s">
        <v>11</v>
      </c>
    </row>
    <row r="946" spans="1:9" x14ac:dyDescent="0.3">
      <c r="A946" s="1">
        <v>45481</v>
      </c>
      <c r="B946" s="4">
        <f t="shared" si="42"/>
        <v>2024</v>
      </c>
      <c r="C946" s="4">
        <f t="shared" si="43"/>
        <v>7</v>
      </c>
      <c r="D946" s="2">
        <v>45481.812904814811</v>
      </c>
      <c r="E946" s="4">
        <f t="shared" si="44"/>
        <v>19</v>
      </c>
      <c r="F946" t="s">
        <v>3</v>
      </c>
      <c r="G946" t="s">
        <v>377</v>
      </c>
      <c r="H946" s="3">
        <v>27.92</v>
      </c>
      <c r="I946" t="s">
        <v>14</v>
      </c>
    </row>
    <row r="947" spans="1:9" x14ac:dyDescent="0.3">
      <c r="A947" s="1">
        <v>45481</v>
      </c>
      <c r="B947" s="4">
        <f t="shared" si="42"/>
        <v>2024</v>
      </c>
      <c r="C947" s="4">
        <f t="shared" si="43"/>
        <v>7</v>
      </c>
      <c r="D947" s="2">
        <v>45481.926923379629</v>
      </c>
      <c r="E947" s="4">
        <f t="shared" si="44"/>
        <v>22</v>
      </c>
      <c r="F947" t="s">
        <v>3</v>
      </c>
      <c r="G947" t="s">
        <v>31</v>
      </c>
      <c r="H947" s="3">
        <v>32.82</v>
      </c>
      <c r="I947" t="s">
        <v>7</v>
      </c>
    </row>
    <row r="948" spans="1:9" x14ac:dyDescent="0.3">
      <c r="A948" s="1">
        <v>45482</v>
      </c>
      <c r="B948" s="4">
        <f t="shared" si="42"/>
        <v>2024</v>
      </c>
      <c r="C948" s="4">
        <f t="shared" si="43"/>
        <v>7</v>
      </c>
      <c r="D948" s="2">
        <v>45482.435325671293</v>
      </c>
      <c r="E948" s="4">
        <f t="shared" si="44"/>
        <v>10</v>
      </c>
      <c r="F948" t="s">
        <v>3</v>
      </c>
      <c r="G948" t="s">
        <v>347</v>
      </c>
      <c r="H948" s="3">
        <v>27.92</v>
      </c>
      <c r="I948" t="s">
        <v>14</v>
      </c>
    </row>
    <row r="949" spans="1:9" x14ac:dyDescent="0.3">
      <c r="A949" s="1">
        <v>45482</v>
      </c>
      <c r="B949" s="4">
        <f t="shared" si="42"/>
        <v>2024</v>
      </c>
      <c r="C949" s="4">
        <f t="shared" si="43"/>
        <v>7</v>
      </c>
      <c r="D949" s="2">
        <v>45482.444777395831</v>
      </c>
      <c r="E949" s="4">
        <f t="shared" si="44"/>
        <v>10</v>
      </c>
      <c r="F949" t="s">
        <v>3</v>
      </c>
      <c r="G949" t="s">
        <v>290</v>
      </c>
      <c r="H949" s="3">
        <v>27.92</v>
      </c>
      <c r="I949" t="s">
        <v>14</v>
      </c>
    </row>
    <row r="950" spans="1:9" x14ac:dyDescent="0.3">
      <c r="A950" s="1">
        <v>45482</v>
      </c>
      <c r="B950" s="4">
        <f t="shared" si="42"/>
        <v>2024</v>
      </c>
      <c r="C950" s="4">
        <f t="shared" si="43"/>
        <v>7</v>
      </c>
      <c r="D950" s="2">
        <v>45482.473334525464</v>
      </c>
      <c r="E950" s="4">
        <f t="shared" si="44"/>
        <v>11</v>
      </c>
      <c r="F950" t="s">
        <v>3</v>
      </c>
      <c r="G950" t="s">
        <v>208</v>
      </c>
      <c r="H950" s="3">
        <v>27.92</v>
      </c>
      <c r="I950" t="s">
        <v>14</v>
      </c>
    </row>
    <row r="951" spans="1:9" x14ac:dyDescent="0.3">
      <c r="A951" s="1">
        <v>45482</v>
      </c>
      <c r="B951" s="4">
        <f t="shared" si="42"/>
        <v>2024</v>
      </c>
      <c r="C951" s="4">
        <f t="shared" si="43"/>
        <v>7</v>
      </c>
      <c r="D951" s="2">
        <v>45482.474188703702</v>
      </c>
      <c r="E951" s="4">
        <f t="shared" si="44"/>
        <v>11</v>
      </c>
      <c r="F951" t="s">
        <v>3</v>
      </c>
      <c r="G951" t="s">
        <v>208</v>
      </c>
      <c r="H951" s="3">
        <v>32.82</v>
      </c>
      <c r="I951" t="s">
        <v>43</v>
      </c>
    </row>
    <row r="952" spans="1:9" x14ac:dyDescent="0.3">
      <c r="A952" s="1">
        <v>45482</v>
      </c>
      <c r="B952" s="4">
        <f t="shared" si="42"/>
        <v>2024</v>
      </c>
      <c r="C952" s="4">
        <f t="shared" si="43"/>
        <v>7</v>
      </c>
      <c r="D952" s="2">
        <v>45482.696522395832</v>
      </c>
      <c r="E952" s="4">
        <f t="shared" si="44"/>
        <v>16</v>
      </c>
      <c r="F952" t="s">
        <v>3</v>
      </c>
      <c r="G952" t="s">
        <v>378</v>
      </c>
      <c r="H952" s="3">
        <v>27.92</v>
      </c>
      <c r="I952" t="s">
        <v>14</v>
      </c>
    </row>
    <row r="953" spans="1:9" x14ac:dyDescent="0.3">
      <c r="A953" s="1">
        <v>45483</v>
      </c>
      <c r="B953" s="4">
        <f t="shared" si="42"/>
        <v>2024</v>
      </c>
      <c r="C953" s="4">
        <f t="shared" si="43"/>
        <v>7</v>
      </c>
      <c r="D953" s="2">
        <v>45483.465760300925</v>
      </c>
      <c r="E953" s="4">
        <f t="shared" si="44"/>
        <v>11</v>
      </c>
      <c r="F953" t="s">
        <v>3</v>
      </c>
      <c r="G953" t="s">
        <v>379</v>
      </c>
      <c r="H953" s="3">
        <v>23.02</v>
      </c>
      <c r="I953" t="s">
        <v>11</v>
      </c>
    </row>
    <row r="954" spans="1:9" x14ac:dyDescent="0.3">
      <c r="A954" s="1">
        <v>45483</v>
      </c>
      <c r="B954" s="4">
        <f t="shared" si="42"/>
        <v>2024</v>
      </c>
      <c r="C954" s="4">
        <f t="shared" si="43"/>
        <v>7</v>
      </c>
      <c r="D954" s="2">
        <v>45483.520065497687</v>
      </c>
      <c r="E954" s="4">
        <f t="shared" si="44"/>
        <v>12</v>
      </c>
      <c r="F954" t="s">
        <v>3</v>
      </c>
      <c r="G954" t="s">
        <v>380</v>
      </c>
      <c r="H954" s="3">
        <v>27.92</v>
      </c>
      <c r="I954" t="s">
        <v>14</v>
      </c>
    </row>
    <row r="955" spans="1:9" x14ac:dyDescent="0.3">
      <c r="A955" s="1">
        <v>45483</v>
      </c>
      <c r="B955" s="4">
        <f t="shared" si="42"/>
        <v>2024</v>
      </c>
      <c r="C955" s="4">
        <f t="shared" si="43"/>
        <v>7</v>
      </c>
      <c r="D955" s="2">
        <v>45483.925810752313</v>
      </c>
      <c r="E955" s="4">
        <f t="shared" si="44"/>
        <v>22</v>
      </c>
      <c r="F955" t="s">
        <v>3</v>
      </c>
      <c r="G955" t="s">
        <v>342</v>
      </c>
      <c r="H955" s="3">
        <v>32.82</v>
      </c>
      <c r="I955" t="s">
        <v>7</v>
      </c>
    </row>
    <row r="956" spans="1:9" x14ac:dyDescent="0.3">
      <c r="A956" s="1">
        <v>45484</v>
      </c>
      <c r="B956" s="4">
        <f t="shared" si="42"/>
        <v>2024</v>
      </c>
      <c r="C956" s="4">
        <f t="shared" si="43"/>
        <v>7</v>
      </c>
      <c r="D956" s="2">
        <v>45484.477402337965</v>
      </c>
      <c r="E956" s="4">
        <f t="shared" si="44"/>
        <v>11</v>
      </c>
      <c r="F956" t="s">
        <v>3</v>
      </c>
      <c r="G956" t="s">
        <v>381</v>
      </c>
      <c r="H956" s="3">
        <v>32.82</v>
      </c>
      <c r="I956" t="s">
        <v>9</v>
      </c>
    </row>
    <row r="957" spans="1:9" x14ac:dyDescent="0.3">
      <c r="A957" s="1">
        <v>45484</v>
      </c>
      <c r="B957" s="4">
        <f t="shared" si="42"/>
        <v>2024</v>
      </c>
      <c r="C957" s="4">
        <f t="shared" si="43"/>
        <v>7</v>
      </c>
      <c r="D957" s="2">
        <v>45484.70021653935</v>
      </c>
      <c r="E957" s="4">
        <f t="shared" si="44"/>
        <v>16</v>
      </c>
      <c r="F957" t="s">
        <v>3</v>
      </c>
      <c r="G957" t="s">
        <v>382</v>
      </c>
      <c r="H957" s="3">
        <v>27.92</v>
      </c>
      <c r="I957" t="s">
        <v>14</v>
      </c>
    </row>
    <row r="958" spans="1:9" x14ac:dyDescent="0.3">
      <c r="A958" s="1">
        <v>45484</v>
      </c>
      <c r="B958" s="4">
        <f t="shared" si="42"/>
        <v>2024</v>
      </c>
      <c r="C958" s="4">
        <f t="shared" si="43"/>
        <v>7</v>
      </c>
      <c r="D958" s="2">
        <v>45484.932102407409</v>
      </c>
      <c r="E958" s="4">
        <f t="shared" si="44"/>
        <v>22</v>
      </c>
      <c r="F958" t="s">
        <v>3</v>
      </c>
      <c r="G958" t="s">
        <v>383</v>
      </c>
      <c r="H958" s="3">
        <v>32.82</v>
      </c>
      <c r="I958" t="s">
        <v>7</v>
      </c>
    </row>
    <row r="959" spans="1:9" x14ac:dyDescent="0.3">
      <c r="A959" s="1">
        <v>45484</v>
      </c>
      <c r="B959" s="4">
        <f t="shared" si="42"/>
        <v>2024</v>
      </c>
      <c r="C959" s="4">
        <f t="shared" si="43"/>
        <v>7</v>
      </c>
      <c r="D959" s="2">
        <v>45484.938177557873</v>
      </c>
      <c r="E959" s="4">
        <f t="shared" si="44"/>
        <v>22</v>
      </c>
      <c r="F959" t="s">
        <v>3</v>
      </c>
      <c r="G959" t="s">
        <v>384</v>
      </c>
      <c r="H959" s="3">
        <v>23.02</v>
      </c>
      <c r="I959" t="s">
        <v>11</v>
      </c>
    </row>
    <row r="960" spans="1:9" x14ac:dyDescent="0.3">
      <c r="A960" s="1">
        <v>45485</v>
      </c>
      <c r="B960" s="4">
        <f t="shared" si="42"/>
        <v>2024</v>
      </c>
      <c r="C960" s="4">
        <f t="shared" si="43"/>
        <v>7</v>
      </c>
      <c r="D960" s="2">
        <v>45485.335619120371</v>
      </c>
      <c r="E960" s="4">
        <f t="shared" si="44"/>
        <v>8</v>
      </c>
      <c r="F960" t="s">
        <v>3</v>
      </c>
      <c r="G960" t="s">
        <v>385</v>
      </c>
      <c r="H960" s="3">
        <v>23.02</v>
      </c>
      <c r="I960" t="s">
        <v>28</v>
      </c>
    </row>
    <row r="961" spans="1:9" x14ac:dyDescent="0.3">
      <c r="A961" s="1">
        <v>45485</v>
      </c>
      <c r="B961" s="4">
        <f t="shared" ref="B961:B1024" si="45">YEAR(A961)</f>
        <v>2024</v>
      </c>
      <c r="C961" s="4">
        <f t="shared" ref="C961:C1024" si="46">MONTH(A961)</f>
        <v>7</v>
      </c>
      <c r="D961" s="2">
        <v>45485.492053020833</v>
      </c>
      <c r="E961" s="4">
        <f t="shared" ref="E961:E1024" si="47">HOUR(D961)</f>
        <v>11</v>
      </c>
      <c r="F961" t="s">
        <v>3</v>
      </c>
      <c r="G961" t="s">
        <v>386</v>
      </c>
      <c r="H961" s="3">
        <v>32.82</v>
      </c>
      <c r="I961" t="s">
        <v>9</v>
      </c>
    </row>
    <row r="962" spans="1:9" x14ac:dyDescent="0.3">
      <c r="A962" s="1">
        <v>45485</v>
      </c>
      <c r="B962" s="4">
        <f t="shared" si="45"/>
        <v>2024</v>
      </c>
      <c r="C962" s="4">
        <f t="shared" si="46"/>
        <v>7</v>
      </c>
      <c r="D962" s="2">
        <v>45485.939879502315</v>
      </c>
      <c r="E962" s="4">
        <f t="shared" si="47"/>
        <v>22</v>
      </c>
      <c r="F962" t="s">
        <v>3</v>
      </c>
      <c r="G962" t="s">
        <v>192</v>
      </c>
      <c r="H962" s="3">
        <v>32.82</v>
      </c>
      <c r="I962" t="s">
        <v>9</v>
      </c>
    </row>
    <row r="963" spans="1:9" x14ac:dyDescent="0.3">
      <c r="A963" s="1">
        <v>45485</v>
      </c>
      <c r="B963" s="4">
        <f t="shared" si="45"/>
        <v>2024</v>
      </c>
      <c r="C963" s="4">
        <f t="shared" si="46"/>
        <v>7</v>
      </c>
      <c r="D963" s="2">
        <v>45485.940443368054</v>
      </c>
      <c r="E963" s="4">
        <f t="shared" si="47"/>
        <v>22</v>
      </c>
      <c r="F963" t="s">
        <v>3</v>
      </c>
      <c r="G963" t="s">
        <v>191</v>
      </c>
      <c r="H963" s="3">
        <v>32.82</v>
      </c>
      <c r="I963" t="s">
        <v>9</v>
      </c>
    </row>
    <row r="964" spans="1:9" x14ac:dyDescent="0.3">
      <c r="A964" s="1">
        <v>45485</v>
      </c>
      <c r="B964" s="4">
        <f t="shared" si="45"/>
        <v>2024</v>
      </c>
      <c r="C964" s="4">
        <f t="shared" si="46"/>
        <v>7</v>
      </c>
      <c r="D964" s="2">
        <v>45485.94131386574</v>
      </c>
      <c r="E964" s="4">
        <f t="shared" si="47"/>
        <v>22</v>
      </c>
      <c r="F964" t="s">
        <v>3</v>
      </c>
      <c r="G964" t="s">
        <v>193</v>
      </c>
      <c r="H964" s="3">
        <v>32.82</v>
      </c>
      <c r="I964" t="s">
        <v>9</v>
      </c>
    </row>
    <row r="965" spans="1:9" x14ac:dyDescent="0.3">
      <c r="A965" s="1">
        <v>45486</v>
      </c>
      <c r="B965" s="4">
        <f t="shared" si="45"/>
        <v>2024</v>
      </c>
      <c r="C965" s="4">
        <f t="shared" si="46"/>
        <v>7</v>
      </c>
      <c r="D965" s="2">
        <v>45486.443174456021</v>
      </c>
      <c r="E965" s="4">
        <f t="shared" si="47"/>
        <v>10</v>
      </c>
      <c r="F965" t="s">
        <v>3</v>
      </c>
      <c r="G965" t="s">
        <v>379</v>
      </c>
      <c r="H965" s="3">
        <v>32.82</v>
      </c>
      <c r="I965" t="s">
        <v>7</v>
      </c>
    </row>
    <row r="966" spans="1:9" x14ac:dyDescent="0.3">
      <c r="A966" s="1">
        <v>45486</v>
      </c>
      <c r="B966" s="4">
        <f t="shared" si="45"/>
        <v>2024</v>
      </c>
      <c r="C966" s="4">
        <f t="shared" si="46"/>
        <v>7</v>
      </c>
      <c r="D966" s="2">
        <v>45486.487246400466</v>
      </c>
      <c r="E966" s="4">
        <f t="shared" si="47"/>
        <v>11</v>
      </c>
      <c r="F966" t="s">
        <v>3</v>
      </c>
      <c r="G966" t="s">
        <v>379</v>
      </c>
      <c r="H966" s="3">
        <v>32.82</v>
      </c>
      <c r="I966" t="s">
        <v>7</v>
      </c>
    </row>
    <row r="967" spans="1:9" x14ac:dyDescent="0.3">
      <c r="A967" s="1">
        <v>45487</v>
      </c>
      <c r="B967" s="4">
        <f t="shared" si="45"/>
        <v>2024</v>
      </c>
      <c r="C967" s="4">
        <f t="shared" si="46"/>
        <v>7</v>
      </c>
      <c r="D967" s="2">
        <v>45487.454447997683</v>
      </c>
      <c r="E967" s="4">
        <f t="shared" si="47"/>
        <v>10</v>
      </c>
      <c r="F967" t="s">
        <v>3</v>
      </c>
      <c r="G967" t="s">
        <v>387</v>
      </c>
      <c r="H967" s="3">
        <v>23.02</v>
      </c>
      <c r="I967" t="s">
        <v>11</v>
      </c>
    </row>
    <row r="968" spans="1:9" x14ac:dyDescent="0.3">
      <c r="A968" s="1">
        <v>45487</v>
      </c>
      <c r="B968" s="4">
        <f t="shared" si="45"/>
        <v>2024</v>
      </c>
      <c r="C968" s="4">
        <f t="shared" si="46"/>
        <v>7</v>
      </c>
      <c r="D968" s="2">
        <v>45487.455214409725</v>
      </c>
      <c r="E968" s="4">
        <f t="shared" si="47"/>
        <v>10</v>
      </c>
      <c r="F968" t="s">
        <v>3</v>
      </c>
      <c r="G968" t="s">
        <v>387</v>
      </c>
      <c r="H968" s="3">
        <v>27.92</v>
      </c>
      <c r="I968" t="s">
        <v>14</v>
      </c>
    </row>
    <row r="969" spans="1:9" x14ac:dyDescent="0.3">
      <c r="A969" s="1">
        <v>45487</v>
      </c>
      <c r="B969" s="4">
        <f t="shared" si="45"/>
        <v>2024</v>
      </c>
      <c r="C969" s="4">
        <f t="shared" si="46"/>
        <v>7</v>
      </c>
      <c r="D969" s="2">
        <v>45487.455905682873</v>
      </c>
      <c r="E969" s="4">
        <f t="shared" si="47"/>
        <v>10</v>
      </c>
      <c r="F969" t="s">
        <v>3</v>
      </c>
      <c r="G969" t="s">
        <v>387</v>
      </c>
      <c r="H969" s="3">
        <v>32.82</v>
      </c>
      <c r="I969" t="s">
        <v>43</v>
      </c>
    </row>
    <row r="970" spans="1:9" x14ac:dyDescent="0.3">
      <c r="A970" s="1">
        <v>45487</v>
      </c>
      <c r="B970" s="4">
        <f t="shared" si="45"/>
        <v>2024</v>
      </c>
      <c r="C970" s="4">
        <f t="shared" si="46"/>
        <v>7</v>
      </c>
      <c r="D970" s="2">
        <v>45487.456875717595</v>
      </c>
      <c r="E970" s="4">
        <f t="shared" si="47"/>
        <v>10</v>
      </c>
      <c r="F970" t="s">
        <v>3</v>
      </c>
      <c r="G970" t="s">
        <v>388</v>
      </c>
      <c r="H970" s="3">
        <v>32.82</v>
      </c>
      <c r="I970" t="s">
        <v>7</v>
      </c>
    </row>
    <row r="971" spans="1:9" x14ac:dyDescent="0.3">
      <c r="A971" s="1">
        <v>45487</v>
      </c>
      <c r="B971" s="4">
        <f t="shared" si="45"/>
        <v>2024</v>
      </c>
      <c r="C971" s="4">
        <f t="shared" si="46"/>
        <v>7</v>
      </c>
      <c r="D971" s="2">
        <v>45487.459858773145</v>
      </c>
      <c r="E971" s="4">
        <f t="shared" si="47"/>
        <v>11</v>
      </c>
      <c r="F971" t="s">
        <v>3</v>
      </c>
      <c r="G971" t="s">
        <v>389</v>
      </c>
      <c r="H971" s="3">
        <v>23.02</v>
      </c>
      <c r="I971" t="s">
        <v>11</v>
      </c>
    </row>
    <row r="972" spans="1:9" x14ac:dyDescent="0.3">
      <c r="A972" s="1">
        <v>45487</v>
      </c>
      <c r="B972" s="4">
        <f t="shared" si="45"/>
        <v>2024</v>
      </c>
      <c r="C972" s="4">
        <f t="shared" si="46"/>
        <v>7</v>
      </c>
      <c r="D972" s="2">
        <v>45487.938541388889</v>
      </c>
      <c r="E972" s="4">
        <f t="shared" si="47"/>
        <v>22</v>
      </c>
      <c r="F972" t="s">
        <v>3</v>
      </c>
      <c r="G972" t="s">
        <v>390</v>
      </c>
      <c r="H972" s="3">
        <v>32.82</v>
      </c>
      <c r="I972" t="s">
        <v>7</v>
      </c>
    </row>
    <row r="973" spans="1:9" x14ac:dyDescent="0.3">
      <c r="A973" s="1">
        <v>45488</v>
      </c>
      <c r="B973" s="4">
        <f t="shared" si="45"/>
        <v>2024</v>
      </c>
      <c r="C973" s="4">
        <f t="shared" si="46"/>
        <v>7</v>
      </c>
      <c r="D973" s="2">
        <v>45488.314647650463</v>
      </c>
      <c r="E973" s="4">
        <f t="shared" si="47"/>
        <v>7</v>
      </c>
      <c r="F973" t="s">
        <v>3</v>
      </c>
      <c r="G973" t="s">
        <v>391</v>
      </c>
      <c r="H973" s="3">
        <v>32.82</v>
      </c>
      <c r="I973" t="s">
        <v>43</v>
      </c>
    </row>
    <row r="974" spans="1:9" x14ac:dyDescent="0.3">
      <c r="A974" s="1">
        <v>45489</v>
      </c>
      <c r="B974" s="4">
        <f t="shared" si="45"/>
        <v>2024</v>
      </c>
      <c r="C974" s="4">
        <f t="shared" si="46"/>
        <v>7</v>
      </c>
      <c r="D974" s="2">
        <v>45489.516405868053</v>
      </c>
      <c r="E974" s="4">
        <f t="shared" si="47"/>
        <v>12</v>
      </c>
      <c r="F974" t="s">
        <v>3</v>
      </c>
      <c r="G974" t="s">
        <v>392</v>
      </c>
      <c r="H974" s="3">
        <v>27.92</v>
      </c>
      <c r="I974" t="s">
        <v>14</v>
      </c>
    </row>
    <row r="975" spans="1:9" x14ac:dyDescent="0.3">
      <c r="A975" s="1">
        <v>45489</v>
      </c>
      <c r="B975" s="4">
        <f t="shared" si="45"/>
        <v>2024</v>
      </c>
      <c r="C975" s="4">
        <f t="shared" si="46"/>
        <v>7</v>
      </c>
      <c r="D975" s="2">
        <v>45489.81210052083</v>
      </c>
      <c r="E975" s="4">
        <f t="shared" si="47"/>
        <v>19</v>
      </c>
      <c r="F975" t="s">
        <v>3</v>
      </c>
      <c r="G975" t="s">
        <v>381</v>
      </c>
      <c r="H975" s="3">
        <v>32.82</v>
      </c>
      <c r="I975" t="s">
        <v>9</v>
      </c>
    </row>
    <row r="976" spans="1:9" x14ac:dyDescent="0.3">
      <c r="A976" s="1">
        <v>45490</v>
      </c>
      <c r="B976" s="4">
        <f t="shared" si="45"/>
        <v>2024</v>
      </c>
      <c r="C976" s="4">
        <f t="shared" si="46"/>
        <v>7</v>
      </c>
      <c r="D976" s="2">
        <v>45490.545135925924</v>
      </c>
      <c r="E976" s="4">
        <f t="shared" si="47"/>
        <v>13</v>
      </c>
      <c r="F976" t="s">
        <v>3</v>
      </c>
      <c r="G976" t="s">
        <v>393</v>
      </c>
      <c r="H976" s="3">
        <v>27.92</v>
      </c>
      <c r="I976" t="s">
        <v>14</v>
      </c>
    </row>
    <row r="977" spans="1:9" x14ac:dyDescent="0.3">
      <c r="A977" s="1">
        <v>45491</v>
      </c>
      <c r="B977" s="4">
        <f t="shared" si="45"/>
        <v>2024</v>
      </c>
      <c r="C977" s="4">
        <f t="shared" si="46"/>
        <v>7</v>
      </c>
      <c r="D977" s="2">
        <v>45491.465432789351</v>
      </c>
      <c r="E977" s="4">
        <f t="shared" si="47"/>
        <v>11</v>
      </c>
      <c r="F977" t="s">
        <v>3</v>
      </c>
      <c r="G977" t="s">
        <v>394</v>
      </c>
      <c r="H977" s="3">
        <v>27.92</v>
      </c>
      <c r="I977" t="s">
        <v>14</v>
      </c>
    </row>
    <row r="978" spans="1:9" x14ac:dyDescent="0.3">
      <c r="A978" s="1">
        <v>45491</v>
      </c>
      <c r="B978" s="4">
        <f t="shared" si="45"/>
        <v>2024</v>
      </c>
      <c r="C978" s="4">
        <f t="shared" si="46"/>
        <v>7</v>
      </c>
      <c r="D978" s="2">
        <v>45491.466243449075</v>
      </c>
      <c r="E978" s="4">
        <f t="shared" si="47"/>
        <v>11</v>
      </c>
      <c r="F978" t="s">
        <v>3</v>
      </c>
      <c r="G978" t="s">
        <v>395</v>
      </c>
      <c r="H978" s="3">
        <v>18.12</v>
      </c>
      <c r="I978" t="s">
        <v>35</v>
      </c>
    </row>
    <row r="979" spans="1:9" x14ac:dyDescent="0.3">
      <c r="A979" s="1">
        <v>45491</v>
      </c>
      <c r="B979" s="4">
        <f t="shared" si="45"/>
        <v>2024</v>
      </c>
      <c r="C979" s="4">
        <f t="shared" si="46"/>
        <v>7</v>
      </c>
      <c r="D979" s="2">
        <v>45491.481245648145</v>
      </c>
      <c r="E979" s="4">
        <f t="shared" si="47"/>
        <v>11</v>
      </c>
      <c r="F979" t="s">
        <v>3</v>
      </c>
      <c r="G979" t="s">
        <v>73</v>
      </c>
      <c r="H979" s="3">
        <v>23.02</v>
      </c>
      <c r="I979" t="s">
        <v>11</v>
      </c>
    </row>
    <row r="980" spans="1:9" x14ac:dyDescent="0.3">
      <c r="A980" s="1">
        <v>45491</v>
      </c>
      <c r="B980" s="4">
        <f t="shared" si="45"/>
        <v>2024</v>
      </c>
      <c r="C980" s="4">
        <f t="shared" si="46"/>
        <v>7</v>
      </c>
      <c r="D980" s="2">
        <v>45491.482505057873</v>
      </c>
      <c r="E980" s="4">
        <f t="shared" si="47"/>
        <v>11</v>
      </c>
      <c r="F980" t="s">
        <v>3</v>
      </c>
      <c r="G980" t="s">
        <v>73</v>
      </c>
      <c r="H980" s="3">
        <v>23.02</v>
      </c>
      <c r="I980" t="s">
        <v>11</v>
      </c>
    </row>
    <row r="981" spans="1:9" x14ac:dyDescent="0.3">
      <c r="A981" s="1">
        <v>45491</v>
      </c>
      <c r="B981" s="4">
        <f t="shared" si="45"/>
        <v>2024</v>
      </c>
      <c r="C981" s="4">
        <f t="shared" si="46"/>
        <v>7</v>
      </c>
      <c r="D981" s="2">
        <v>45491.483235011576</v>
      </c>
      <c r="E981" s="4">
        <f t="shared" si="47"/>
        <v>11</v>
      </c>
      <c r="F981" t="s">
        <v>3</v>
      </c>
      <c r="G981" t="s">
        <v>73</v>
      </c>
      <c r="H981" s="3">
        <v>23.02</v>
      </c>
      <c r="I981" t="s">
        <v>28</v>
      </c>
    </row>
    <row r="982" spans="1:9" x14ac:dyDescent="0.3">
      <c r="A982" s="1">
        <v>45491</v>
      </c>
      <c r="B982" s="4">
        <f t="shared" si="45"/>
        <v>2024</v>
      </c>
      <c r="C982" s="4">
        <f t="shared" si="46"/>
        <v>7</v>
      </c>
      <c r="D982" s="2">
        <v>45491.558030231485</v>
      </c>
      <c r="E982" s="4">
        <f t="shared" si="47"/>
        <v>13</v>
      </c>
      <c r="F982" t="s">
        <v>3</v>
      </c>
      <c r="G982" t="s">
        <v>389</v>
      </c>
      <c r="H982" s="3">
        <v>32.82</v>
      </c>
      <c r="I982" t="s">
        <v>7</v>
      </c>
    </row>
    <row r="983" spans="1:9" x14ac:dyDescent="0.3">
      <c r="A983" s="1">
        <v>45491</v>
      </c>
      <c r="B983" s="4">
        <f t="shared" si="45"/>
        <v>2024</v>
      </c>
      <c r="C983" s="4">
        <f t="shared" si="46"/>
        <v>7</v>
      </c>
      <c r="D983" s="2">
        <v>45491.762770578702</v>
      </c>
      <c r="E983" s="4">
        <f t="shared" si="47"/>
        <v>18</v>
      </c>
      <c r="F983" t="s">
        <v>3</v>
      </c>
      <c r="G983" t="s">
        <v>396</v>
      </c>
      <c r="H983" s="3">
        <v>32.82</v>
      </c>
      <c r="I983" t="s">
        <v>43</v>
      </c>
    </row>
    <row r="984" spans="1:9" x14ac:dyDescent="0.3">
      <c r="A984" s="1">
        <v>45491</v>
      </c>
      <c r="B984" s="4">
        <f t="shared" si="45"/>
        <v>2024</v>
      </c>
      <c r="C984" s="4">
        <f t="shared" si="46"/>
        <v>7</v>
      </c>
      <c r="D984" s="2">
        <v>45491.813085208334</v>
      </c>
      <c r="E984" s="4">
        <f t="shared" si="47"/>
        <v>19</v>
      </c>
      <c r="F984" t="s">
        <v>3</v>
      </c>
      <c r="G984" t="s">
        <v>19</v>
      </c>
      <c r="H984" s="3">
        <v>32.82</v>
      </c>
      <c r="I984" t="s">
        <v>7</v>
      </c>
    </row>
    <row r="985" spans="1:9" x14ac:dyDescent="0.3">
      <c r="A985" s="1">
        <v>45491</v>
      </c>
      <c r="B985" s="4">
        <f t="shared" si="45"/>
        <v>2024</v>
      </c>
      <c r="C985" s="4">
        <f t="shared" si="46"/>
        <v>7</v>
      </c>
      <c r="D985" s="2">
        <v>45491.888678402778</v>
      </c>
      <c r="E985" s="4">
        <f t="shared" si="47"/>
        <v>21</v>
      </c>
      <c r="F985" t="s">
        <v>3</v>
      </c>
      <c r="G985" t="s">
        <v>397</v>
      </c>
      <c r="H985" s="3">
        <v>32.82</v>
      </c>
      <c r="I985" t="s">
        <v>9</v>
      </c>
    </row>
    <row r="986" spans="1:9" x14ac:dyDescent="0.3">
      <c r="A986" s="1">
        <v>45491</v>
      </c>
      <c r="B986" s="4">
        <f t="shared" si="45"/>
        <v>2024</v>
      </c>
      <c r="C986" s="4">
        <f t="shared" si="46"/>
        <v>7</v>
      </c>
      <c r="D986" s="2">
        <v>45491.890276099541</v>
      </c>
      <c r="E986" s="4">
        <f t="shared" si="47"/>
        <v>21</v>
      </c>
      <c r="F986" t="s">
        <v>3</v>
      </c>
      <c r="G986" t="s">
        <v>397</v>
      </c>
      <c r="H986" s="3">
        <v>32.82</v>
      </c>
      <c r="I986" t="s">
        <v>7</v>
      </c>
    </row>
    <row r="987" spans="1:9" x14ac:dyDescent="0.3">
      <c r="A987" s="1">
        <v>45491</v>
      </c>
      <c r="B987" s="4">
        <f t="shared" si="45"/>
        <v>2024</v>
      </c>
      <c r="C987" s="4">
        <f t="shared" si="46"/>
        <v>7</v>
      </c>
      <c r="D987" s="2">
        <v>45491.907160578703</v>
      </c>
      <c r="E987" s="4">
        <f t="shared" si="47"/>
        <v>21</v>
      </c>
      <c r="F987" t="s">
        <v>3</v>
      </c>
      <c r="G987" t="s">
        <v>398</v>
      </c>
      <c r="H987" s="3">
        <v>32.82</v>
      </c>
      <c r="I987" t="s">
        <v>7</v>
      </c>
    </row>
    <row r="988" spans="1:9" x14ac:dyDescent="0.3">
      <c r="A988" s="1">
        <v>45492</v>
      </c>
      <c r="B988" s="4">
        <f t="shared" si="45"/>
        <v>2024</v>
      </c>
      <c r="C988" s="4">
        <f t="shared" si="46"/>
        <v>7</v>
      </c>
      <c r="D988" s="2">
        <v>45492.460443761571</v>
      </c>
      <c r="E988" s="4">
        <f t="shared" si="47"/>
        <v>11</v>
      </c>
      <c r="F988" t="s">
        <v>3</v>
      </c>
      <c r="G988" t="s">
        <v>389</v>
      </c>
      <c r="H988" s="3">
        <v>23.02</v>
      </c>
      <c r="I988" t="s">
        <v>11</v>
      </c>
    </row>
    <row r="989" spans="1:9" x14ac:dyDescent="0.3">
      <c r="A989" s="1">
        <v>45492</v>
      </c>
      <c r="B989" s="4">
        <f t="shared" si="45"/>
        <v>2024</v>
      </c>
      <c r="C989" s="4">
        <f t="shared" si="46"/>
        <v>7</v>
      </c>
      <c r="D989" s="2">
        <v>45492.469681817129</v>
      </c>
      <c r="E989" s="4">
        <f t="shared" si="47"/>
        <v>11</v>
      </c>
      <c r="F989" t="s">
        <v>3</v>
      </c>
      <c r="G989" t="s">
        <v>399</v>
      </c>
      <c r="H989" s="3">
        <v>27.92</v>
      </c>
      <c r="I989" t="s">
        <v>14</v>
      </c>
    </row>
    <row r="990" spans="1:9" x14ac:dyDescent="0.3">
      <c r="A990" s="1">
        <v>45492</v>
      </c>
      <c r="B990" s="4">
        <f t="shared" si="45"/>
        <v>2024</v>
      </c>
      <c r="C990" s="4">
        <f t="shared" si="46"/>
        <v>7</v>
      </c>
      <c r="D990" s="2">
        <v>45492.540712511574</v>
      </c>
      <c r="E990" s="4">
        <f t="shared" si="47"/>
        <v>12</v>
      </c>
      <c r="F990" t="s">
        <v>3</v>
      </c>
      <c r="G990" t="s">
        <v>400</v>
      </c>
      <c r="H990" s="3">
        <v>32.82</v>
      </c>
      <c r="I990" t="s">
        <v>7</v>
      </c>
    </row>
    <row r="991" spans="1:9" x14ac:dyDescent="0.3">
      <c r="A991" s="1">
        <v>45492</v>
      </c>
      <c r="B991" s="4">
        <f t="shared" si="45"/>
        <v>2024</v>
      </c>
      <c r="C991" s="4">
        <f t="shared" si="46"/>
        <v>7</v>
      </c>
      <c r="D991" s="2">
        <v>45492.541613229165</v>
      </c>
      <c r="E991" s="4">
        <f t="shared" si="47"/>
        <v>12</v>
      </c>
      <c r="F991" t="s">
        <v>3</v>
      </c>
      <c r="G991" t="s">
        <v>400</v>
      </c>
      <c r="H991" s="3">
        <v>27.92</v>
      </c>
      <c r="I991" t="s">
        <v>14</v>
      </c>
    </row>
    <row r="992" spans="1:9" x14ac:dyDescent="0.3">
      <c r="A992" s="1">
        <v>45492</v>
      </c>
      <c r="B992" s="4">
        <f t="shared" si="45"/>
        <v>2024</v>
      </c>
      <c r="C992" s="4">
        <f t="shared" si="46"/>
        <v>7</v>
      </c>
      <c r="D992" s="2">
        <v>45492.589823101851</v>
      </c>
      <c r="E992" s="4">
        <f t="shared" si="47"/>
        <v>14</v>
      </c>
      <c r="F992" t="s">
        <v>3</v>
      </c>
      <c r="G992" t="s">
        <v>398</v>
      </c>
      <c r="H992" s="3">
        <v>32.82</v>
      </c>
      <c r="I992" t="s">
        <v>7</v>
      </c>
    </row>
    <row r="993" spans="1:9" x14ac:dyDescent="0.3">
      <c r="A993" s="1">
        <v>45492</v>
      </c>
      <c r="B993" s="4">
        <f t="shared" si="45"/>
        <v>2024</v>
      </c>
      <c r="C993" s="4">
        <f t="shared" si="46"/>
        <v>7</v>
      </c>
      <c r="D993" s="2">
        <v>45492.591228067133</v>
      </c>
      <c r="E993" s="4">
        <f t="shared" si="47"/>
        <v>14</v>
      </c>
      <c r="F993" t="s">
        <v>3</v>
      </c>
      <c r="G993" t="s">
        <v>398</v>
      </c>
      <c r="H993" s="3">
        <v>32.82</v>
      </c>
      <c r="I993" t="s">
        <v>18</v>
      </c>
    </row>
    <row r="994" spans="1:9" x14ac:dyDescent="0.3">
      <c r="A994" s="1">
        <v>45492</v>
      </c>
      <c r="B994" s="4">
        <f t="shared" si="45"/>
        <v>2024</v>
      </c>
      <c r="C994" s="4">
        <f t="shared" si="46"/>
        <v>7</v>
      </c>
      <c r="D994" s="2">
        <v>45492.69188972222</v>
      </c>
      <c r="E994" s="4">
        <f t="shared" si="47"/>
        <v>16</v>
      </c>
      <c r="F994" t="s">
        <v>3</v>
      </c>
      <c r="G994" t="s">
        <v>398</v>
      </c>
      <c r="H994" s="3">
        <v>32.82</v>
      </c>
      <c r="I994" t="s">
        <v>7</v>
      </c>
    </row>
    <row r="995" spans="1:9" x14ac:dyDescent="0.3">
      <c r="A995" s="1">
        <v>45492</v>
      </c>
      <c r="B995" s="4">
        <f t="shared" si="45"/>
        <v>2024</v>
      </c>
      <c r="C995" s="4">
        <f t="shared" si="46"/>
        <v>7</v>
      </c>
      <c r="D995" s="2">
        <v>45492.692775555559</v>
      </c>
      <c r="E995" s="4">
        <f t="shared" si="47"/>
        <v>16</v>
      </c>
      <c r="F995" t="s">
        <v>3</v>
      </c>
      <c r="G995" t="s">
        <v>398</v>
      </c>
      <c r="H995" s="3">
        <v>32.82</v>
      </c>
      <c r="I995" t="s">
        <v>7</v>
      </c>
    </row>
    <row r="996" spans="1:9" x14ac:dyDescent="0.3">
      <c r="A996" s="1">
        <v>45493</v>
      </c>
      <c r="B996" s="4">
        <f t="shared" si="45"/>
        <v>2024</v>
      </c>
      <c r="C996" s="4">
        <f t="shared" si="46"/>
        <v>7</v>
      </c>
      <c r="D996" s="2">
        <v>45493.337320243052</v>
      </c>
      <c r="E996" s="4">
        <f t="shared" si="47"/>
        <v>8</v>
      </c>
      <c r="F996" t="s">
        <v>3</v>
      </c>
      <c r="G996" t="s">
        <v>401</v>
      </c>
      <c r="H996" s="3">
        <v>23.02</v>
      </c>
      <c r="I996" t="s">
        <v>11</v>
      </c>
    </row>
    <row r="997" spans="1:9" x14ac:dyDescent="0.3">
      <c r="A997" s="1">
        <v>45493</v>
      </c>
      <c r="B997" s="4">
        <f t="shared" si="45"/>
        <v>2024</v>
      </c>
      <c r="C997" s="4">
        <f t="shared" si="46"/>
        <v>7</v>
      </c>
      <c r="D997" s="2">
        <v>45493.338063483796</v>
      </c>
      <c r="E997" s="4">
        <f t="shared" si="47"/>
        <v>8</v>
      </c>
      <c r="F997" t="s">
        <v>3</v>
      </c>
      <c r="G997" t="s">
        <v>401</v>
      </c>
      <c r="H997" s="3">
        <v>32.82</v>
      </c>
      <c r="I997" t="s">
        <v>7</v>
      </c>
    </row>
    <row r="998" spans="1:9" x14ac:dyDescent="0.3">
      <c r="A998" s="1">
        <v>45493</v>
      </c>
      <c r="B998" s="4">
        <f t="shared" si="45"/>
        <v>2024</v>
      </c>
      <c r="C998" s="4">
        <f t="shared" si="46"/>
        <v>7</v>
      </c>
      <c r="D998" s="2">
        <v>45493.338789733796</v>
      </c>
      <c r="E998" s="4">
        <f t="shared" si="47"/>
        <v>8</v>
      </c>
      <c r="F998" t="s">
        <v>3</v>
      </c>
      <c r="G998" t="s">
        <v>401</v>
      </c>
      <c r="H998" s="3">
        <v>23.02</v>
      </c>
      <c r="I998" t="s">
        <v>11</v>
      </c>
    </row>
    <row r="999" spans="1:9" x14ac:dyDescent="0.3">
      <c r="A999" s="1">
        <v>45493</v>
      </c>
      <c r="B999" s="4">
        <f t="shared" si="45"/>
        <v>2024</v>
      </c>
      <c r="C999" s="4">
        <f t="shared" si="46"/>
        <v>7</v>
      </c>
      <c r="D999" s="2">
        <v>45493.37562042824</v>
      </c>
      <c r="E999" s="4">
        <f t="shared" si="47"/>
        <v>9</v>
      </c>
      <c r="F999" t="s">
        <v>3</v>
      </c>
      <c r="G999" t="s">
        <v>402</v>
      </c>
      <c r="H999" s="3">
        <v>32.82</v>
      </c>
      <c r="I999" t="s">
        <v>7</v>
      </c>
    </row>
    <row r="1000" spans="1:9" x14ac:dyDescent="0.3">
      <c r="A1000" s="1">
        <v>45493</v>
      </c>
      <c r="B1000" s="4">
        <f t="shared" si="45"/>
        <v>2024</v>
      </c>
      <c r="C1000" s="4">
        <f t="shared" si="46"/>
        <v>7</v>
      </c>
      <c r="D1000" s="2">
        <v>45493.376711203702</v>
      </c>
      <c r="E1000" s="4">
        <f t="shared" si="47"/>
        <v>9</v>
      </c>
      <c r="F1000" t="s">
        <v>3</v>
      </c>
      <c r="G1000" t="s">
        <v>403</v>
      </c>
      <c r="H1000" s="3">
        <v>32.82</v>
      </c>
      <c r="I1000" t="s">
        <v>7</v>
      </c>
    </row>
    <row r="1001" spans="1:9" x14ac:dyDescent="0.3">
      <c r="A1001" s="1">
        <v>45493</v>
      </c>
      <c r="B1001" s="4">
        <f t="shared" si="45"/>
        <v>2024</v>
      </c>
      <c r="C1001" s="4">
        <f t="shared" si="46"/>
        <v>7</v>
      </c>
      <c r="D1001" s="2">
        <v>45493.443993564812</v>
      </c>
      <c r="E1001" s="4">
        <f t="shared" si="47"/>
        <v>10</v>
      </c>
      <c r="F1001" t="s">
        <v>3</v>
      </c>
      <c r="G1001" t="s">
        <v>404</v>
      </c>
      <c r="H1001" s="3">
        <v>23.02</v>
      </c>
      <c r="I1001" t="s">
        <v>11</v>
      </c>
    </row>
    <row r="1002" spans="1:9" x14ac:dyDescent="0.3">
      <c r="A1002" s="1">
        <v>45493</v>
      </c>
      <c r="B1002" s="4">
        <f t="shared" si="45"/>
        <v>2024</v>
      </c>
      <c r="C1002" s="4">
        <f t="shared" si="46"/>
        <v>7</v>
      </c>
      <c r="D1002" s="2">
        <v>45493.635523391204</v>
      </c>
      <c r="E1002" s="4">
        <f t="shared" si="47"/>
        <v>15</v>
      </c>
      <c r="F1002" t="s">
        <v>3</v>
      </c>
      <c r="G1002" t="s">
        <v>405</v>
      </c>
      <c r="H1002" s="3">
        <v>32.82</v>
      </c>
      <c r="I1002" t="s">
        <v>7</v>
      </c>
    </row>
    <row r="1003" spans="1:9" x14ac:dyDescent="0.3">
      <c r="A1003" s="1">
        <v>45494</v>
      </c>
      <c r="B1003" s="4">
        <f t="shared" si="45"/>
        <v>2024</v>
      </c>
      <c r="C1003" s="4">
        <f t="shared" si="46"/>
        <v>7</v>
      </c>
      <c r="D1003" s="2">
        <v>45494.43814604167</v>
      </c>
      <c r="E1003" s="4">
        <f t="shared" si="47"/>
        <v>10</v>
      </c>
      <c r="F1003" t="s">
        <v>3</v>
      </c>
      <c r="G1003" t="s">
        <v>381</v>
      </c>
      <c r="H1003" s="3">
        <v>32.82</v>
      </c>
      <c r="I1003" t="s">
        <v>18</v>
      </c>
    </row>
    <row r="1004" spans="1:9" x14ac:dyDescent="0.3">
      <c r="A1004" s="1">
        <v>45494</v>
      </c>
      <c r="B1004" s="4">
        <f t="shared" si="45"/>
        <v>2024</v>
      </c>
      <c r="C1004" s="4">
        <f t="shared" si="46"/>
        <v>7</v>
      </c>
      <c r="D1004" s="2">
        <v>45494.485749722226</v>
      </c>
      <c r="E1004" s="4">
        <f t="shared" si="47"/>
        <v>11</v>
      </c>
      <c r="F1004" t="s">
        <v>3</v>
      </c>
      <c r="G1004" t="s">
        <v>406</v>
      </c>
      <c r="H1004" s="3">
        <v>32.82</v>
      </c>
      <c r="I1004" t="s">
        <v>43</v>
      </c>
    </row>
    <row r="1005" spans="1:9" x14ac:dyDescent="0.3">
      <c r="A1005" s="1">
        <v>45494</v>
      </c>
      <c r="B1005" s="4">
        <f t="shared" si="45"/>
        <v>2024</v>
      </c>
      <c r="C1005" s="4">
        <f t="shared" si="46"/>
        <v>7</v>
      </c>
      <c r="D1005" s="2">
        <v>45494.565634826387</v>
      </c>
      <c r="E1005" s="4">
        <f t="shared" si="47"/>
        <v>13</v>
      </c>
      <c r="F1005" t="s">
        <v>3</v>
      </c>
      <c r="G1005" t="s">
        <v>407</v>
      </c>
      <c r="H1005" s="3">
        <v>23.02</v>
      </c>
      <c r="I1005" t="s">
        <v>28</v>
      </c>
    </row>
    <row r="1006" spans="1:9" x14ac:dyDescent="0.3">
      <c r="A1006" s="1">
        <v>45494</v>
      </c>
      <c r="B1006" s="4">
        <f t="shared" si="45"/>
        <v>2024</v>
      </c>
      <c r="C1006" s="4">
        <f t="shared" si="46"/>
        <v>7</v>
      </c>
      <c r="D1006" s="2">
        <v>45494.571197268517</v>
      </c>
      <c r="E1006" s="4">
        <f t="shared" si="47"/>
        <v>13</v>
      </c>
      <c r="F1006" t="s">
        <v>3</v>
      </c>
      <c r="G1006" t="s">
        <v>408</v>
      </c>
      <c r="H1006" s="3">
        <v>32.82</v>
      </c>
      <c r="I1006" t="s">
        <v>7</v>
      </c>
    </row>
    <row r="1007" spans="1:9" x14ac:dyDescent="0.3">
      <c r="A1007" s="1">
        <v>45495</v>
      </c>
      <c r="B1007" s="4">
        <f t="shared" si="45"/>
        <v>2024</v>
      </c>
      <c r="C1007" s="4">
        <f t="shared" si="46"/>
        <v>7</v>
      </c>
      <c r="D1007" s="2">
        <v>45495.342629016202</v>
      </c>
      <c r="E1007" s="4">
        <f t="shared" si="47"/>
        <v>8</v>
      </c>
      <c r="F1007" t="s">
        <v>3</v>
      </c>
      <c r="G1007" t="s">
        <v>389</v>
      </c>
      <c r="H1007" s="3">
        <v>23.02</v>
      </c>
      <c r="I1007" t="s">
        <v>11</v>
      </c>
    </row>
    <row r="1008" spans="1:9" x14ac:dyDescent="0.3">
      <c r="A1008" s="1">
        <v>45495</v>
      </c>
      <c r="B1008" s="4">
        <f t="shared" si="45"/>
        <v>2024</v>
      </c>
      <c r="C1008" s="4">
        <f t="shared" si="46"/>
        <v>7</v>
      </c>
      <c r="D1008" s="2">
        <v>45495.36168465278</v>
      </c>
      <c r="E1008" s="4">
        <f t="shared" si="47"/>
        <v>8</v>
      </c>
      <c r="F1008" t="s">
        <v>3</v>
      </c>
      <c r="G1008" t="s">
        <v>409</v>
      </c>
      <c r="H1008" s="3">
        <v>23.02</v>
      </c>
      <c r="I1008" t="s">
        <v>11</v>
      </c>
    </row>
    <row r="1009" spans="1:9" x14ac:dyDescent="0.3">
      <c r="A1009" s="1">
        <v>45495</v>
      </c>
      <c r="B1009" s="4">
        <f t="shared" si="45"/>
        <v>2024</v>
      </c>
      <c r="C1009" s="4">
        <f t="shared" si="46"/>
        <v>7</v>
      </c>
      <c r="D1009" s="2">
        <v>45495.42751465278</v>
      </c>
      <c r="E1009" s="4">
        <f t="shared" si="47"/>
        <v>10</v>
      </c>
      <c r="F1009" t="s">
        <v>3</v>
      </c>
      <c r="G1009" t="s">
        <v>399</v>
      </c>
      <c r="H1009" s="3">
        <v>27.92</v>
      </c>
      <c r="I1009" t="s">
        <v>14</v>
      </c>
    </row>
    <row r="1010" spans="1:9" x14ac:dyDescent="0.3">
      <c r="A1010" s="1">
        <v>45495</v>
      </c>
      <c r="B1010" s="4">
        <f t="shared" si="45"/>
        <v>2024</v>
      </c>
      <c r="C1010" s="4">
        <f t="shared" si="46"/>
        <v>7</v>
      </c>
      <c r="D1010" s="2">
        <v>45495.697657326389</v>
      </c>
      <c r="E1010" s="4">
        <f t="shared" si="47"/>
        <v>16</v>
      </c>
      <c r="F1010" t="s">
        <v>3</v>
      </c>
      <c r="G1010" t="s">
        <v>410</v>
      </c>
      <c r="H1010" s="3">
        <v>32.82</v>
      </c>
      <c r="I1010" t="s">
        <v>7</v>
      </c>
    </row>
    <row r="1011" spans="1:9" x14ac:dyDescent="0.3">
      <c r="A1011" s="1">
        <v>45496</v>
      </c>
      <c r="B1011" s="4">
        <f t="shared" si="45"/>
        <v>2024</v>
      </c>
      <c r="C1011" s="4">
        <f t="shared" si="46"/>
        <v>7</v>
      </c>
      <c r="D1011" s="2">
        <v>45496.342317465278</v>
      </c>
      <c r="E1011" s="4">
        <f t="shared" si="47"/>
        <v>8</v>
      </c>
      <c r="F1011" t="s">
        <v>3</v>
      </c>
      <c r="G1011" t="s">
        <v>211</v>
      </c>
      <c r="H1011" s="3">
        <v>32.82</v>
      </c>
      <c r="I1011" t="s">
        <v>7</v>
      </c>
    </row>
    <row r="1012" spans="1:9" x14ac:dyDescent="0.3">
      <c r="A1012" s="1">
        <v>45496</v>
      </c>
      <c r="B1012" s="4">
        <f t="shared" si="45"/>
        <v>2024</v>
      </c>
      <c r="C1012" s="4">
        <f t="shared" si="46"/>
        <v>7</v>
      </c>
      <c r="D1012" s="2">
        <v>45496.361330798609</v>
      </c>
      <c r="E1012" s="4">
        <f t="shared" si="47"/>
        <v>8</v>
      </c>
      <c r="F1012" t="s">
        <v>3</v>
      </c>
      <c r="G1012" t="s">
        <v>409</v>
      </c>
      <c r="H1012" s="3">
        <v>23.02</v>
      </c>
      <c r="I1012" t="s">
        <v>11</v>
      </c>
    </row>
    <row r="1013" spans="1:9" x14ac:dyDescent="0.3">
      <c r="A1013" s="1">
        <v>45496</v>
      </c>
      <c r="B1013" s="4">
        <f t="shared" si="45"/>
        <v>2024</v>
      </c>
      <c r="C1013" s="4">
        <f t="shared" si="46"/>
        <v>7</v>
      </c>
      <c r="D1013" s="2">
        <v>45496.36451175926</v>
      </c>
      <c r="E1013" s="4">
        <f t="shared" si="47"/>
        <v>8</v>
      </c>
      <c r="F1013" t="s">
        <v>3</v>
      </c>
      <c r="G1013" t="s">
        <v>411</v>
      </c>
      <c r="H1013" s="3">
        <v>27.92</v>
      </c>
      <c r="I1013" t="s">
        <v>14</v>
      </c>
    </row>
    <row r="1014" spans="1:9" x14ac:dyDescent="0.3">
      <c r="A1014" s="1">
        <v>45496</v>
      </c>
      <c r="B1014" s="4">
        <f t="shared" si="45"/>
        <v>2024</v>
      </c>
      <c r="C1014" s="4">
        <f t="shared" si="46"/>
        <v>7</v>
      </c>
      <c r="D1014" s="2">
        <v>45496.367651701388</v>
      </c>
      <c r="E1014" s="4">
        <f t="shared" si="47"/>
        <v>8</v>
      </c>
      <c r="F1014" t="s">
        <v>3</v>
      </c>
      <c r="G1014" t="s">
        <v>412</v>
      </c>
      <c r="H1014" s="3">
        <v>32.82</v>
      </c>
      <c r="I1014" t="s">
        <v>18</v>
      </c>
    </row>
    <row r="1015" spans="1:9" x14ac:dyDescent="0.3">
      <c r="A1015" s="1">
        <v>45496</v>
      </c>
      <c r="B1015" s="4">
        <f t="shared" si="45"/>
        <v>2024</v>
      </c>
      <c r="C1015" s="4">
        <f t="shared" si="46"/>
        <v>7</v>
      </c>
      <c r="D1015" s="2">
        <v>45496.368869965278</v>
      </c>
      <c r="E1015" s="4">
        <f t="shared" si="47"/>
        <v>8</v>
      </c>
      <c r="F1015" t="s">
        <v>3</v>
      </c>
      <c r="G1015" t="s">
        <v>413</v>
      </c>
      <c r="H1015" s="3">
        <v>32.82</v>
      </c>
      <c r="I1015" t="s">
        <v>7</v>
      </c>
    </row>
    <row r="1016" spans="1:9" x14ac:dyDescent="0.3">
      <c r="A1016" s="1">
        <v>45496</v>
      </c>
      <c r="B1016" s="4">
        <f t="shared" si="45"/>
        <v>2024</v>
      </c>
      <c r="C1016" s="4">
        <f t="shared" si="46"/>
        <v>7</v>
      </c>
      <c r="D1016" s="2">
        <v>45496.376223460647</v>
      </c>
      <c r="E1016" s="4">
        <f t="shared" si="47"/>
        <v>9</v>
      </c>
      <c r="F1016" t="s">
        <v>3</v>
      </c>
      <c r="G1016" t="s">
        <v>389</v>
      </c>
      <c r="H1016" s="3">
        <v>23.02</v>
      </c>
      <c r="I1016" t="s">
        <v>11</v>
      </c>
    </row>
    <row r="1017" spans="1:9" x14ac:dyDescent="0.3">
      <c r="A1017" s="1">
        <v>45496</v>
      </c>
      <c r="B1017" s="4">
        <f t="shared" si="45"/>
        <v>2024</v>
      </c>
      <c r="C1017" s="4">
        <f t="shared" si="46"/>
        <v>7</v>
      </c>
      <c r="D1017" s="2">
        <v>45496.419172361107</v>
      </c>
      <c r="E1017" s="4">
        <f t="shared" si="47"/>
        <v>10</v>
      </c>
      <c r="F1017" t="s">
        <v>3</v>
      </c>
      <c r="G1017" t="s">
        <v>414</v>
      </c>
      <c r="H1017" s="3">
        <v>27.92</v>
      </c>
      <c r="I1017" t="s">
        <v>14</v>
      </c>
    </row>
    <row r="1018" spans="1:9" x14ac:dyDescent="0.3">
      <c r="A1018" s="1">
        <v>45496</v>
      </c>
      <c r="B1018" s="4">
        <f t="shared" si="45"/>
        <v>2024</v>
      </c>
      <c r="C1018" s="4">
        <f t="shared" si="46"/>
        <v>7</v>
      </c>
      <c r="D1018" s="2">
        <v>45496.638946423613</v>
      </c>
      <c r="E1018" s="4">
        <f t="shared" si="47"/>
        <v>15</v>
      </c>
      <c r="F1018" t="s">
        <v>3</v>
      </c>
      <c r="G1018" t="s">
        <v>415</v>
      </c>
      <c r="H1018" s="3">
        <v>27.92</v>
      </c>
      <c r="I1018" t="s">
        <v>14</v>
      </c>
    </row>
    <row r="1019" spans="1:9" x14ac:dyDescent="0.3">
      <c r="A1019" s="1">
        <v>45496</v>
      </c>
      <c r="B1019" s="4">
        <f t="shared" si="45"/>
        <v>2024</v>
      </c>
      <c r="C1019" s="4">
        <f t="shared" si="46"/>
        <v>7</v>
      </c>
      <c r="D1019" s="2">
        <v>45496.639598148147</v>
      </c>
      <c r="E1019" s="4">
        <f t="shared" si="47"/>
        <v>15</v>
      </c>
      <c r="F1019" t="s">
        <v>3</v>
      </c>
      <c r="G1019" t="s">
        <v>415</v>
      </c>
      <c r="H1019" s="3">
        <v>32.82</v>
      </c>
      <c r="I1019" t="s">
        <v>7</v>
      </c>
    </row>
    <row r="1020" spans="1:9" x14ac:dyDescent="0.3">
      <c r="A1020" s="1">
        <v>45496</v>
      </c>
      <c r="B1020" s="4">
        <f t="shared" si="45"/>
        <v>2024</v>
      </c>
      <c r="C1020" s="4">
        <f t="shared" si="46"/>
        <v>7</v>
      </c>
      <c r="D1020" s="2">
        <v>45496.876164490743</v>
      </c>
      <c r="E1020" s="4">
        <f t="shared" si="47"/>
        <v>21</v>
      </c>
      <c r="F1020" t="s">
        <v>3</v>
      </c>
      <c r="G1020" t="s">
        <v>19</v>
      </c>
      <c r="H1020" s="3">
        <v>32.82</v>
      </c>
      <c r="I1020" t="s">
        <v>7</v>
      </c>
    </row>
    <row r="1021" spans="1:9" x14ac:dyDescent="0.3">
      <c r="A1021" s="1">
        <v>45496</v>
      </c>
      <c r="B1021" s="4">
        <f t="shared" si="45"/>
        <v>2024</v>
      </c>
      <c r="C1021" s="4">
        <f t="shared" si="46"/>
        <v>7</v>
      </c>
      <c r="D1021" s="2">
        <v>45496.891128483796</v>
      </c>
      <c r="E1021" s="4">
        <f t="shared" si="47"/>
        <v>21</v>
      </c>
      <c r="F1021" t="s">
        <v>3</v>
      </c>
      <c r="G1021" t="s">
        <v>23</v>
      </c>
      <c r="H1021" s="3">
        <v>23.02</v>
      </c>
      <c r="I1021" t="s">
        <v>11</v>
      </c>
    </row>
    <row r="1022" spans="1:9" x14ac:dyDescent="0.3">
      <c r="A1022" s="1">
        <v>45496</v>
      </c>
      <c r="B1022" s="4">
        <f t="shared" si="45"/>
        <v>2024</v>
      </c>
      <c r="C1022" s="4">
        <f t="shared" si="46"/>
        <v>7</v>
      </c>
      <c r="D1022" s="2">
        <v>45496.891928344907</v>
      </c>
      <c r="E1022" s="4">
        <f t="shared" si="47"/>
        <v>21</v>
      </c>
      <c r="F1022" t="s">
        <v>3</v>
      </c>
      <c r="G1022" t="s">
        <v>23</v>
      </c>
      <c r="H1022" s="3">
        <v>23.02</v>
      </c>
      <c r="I1022" t="s">
        <v>11</v>
      </c>
    </row>
    <row r="1023" spans="1:9" x14ac:dyDescent="0.3">
      <c r="A1023" s="1">
        <v>45497</v>
      </c>
      <c r="B1023" s="4">
        <f t="shared" si="45"/>
        <v>2024</v>
      </c>
      <c r="C1023" s="4">
        <f t="shared" si="46"/>
        <v>7</v>
      </c>
      <c r="D1023" s="2">
        <v>45497.386224699076</v>
      </c>
      <c r="E1023" s="4">
        <f t="shared" si="47"/>
        <v>9</v>
      </c>
      <c r="F1023" t="s">
        <v>3</v>
      </c>
      <c r="G1023" t="s">
        <v>111</v>
      </c>
      <c r="H1023" s="3">
        <v>27.92</v>
      </c>
      <c r="I1023" t="s">
        <v>14</v>
      </c>
    </row>
    <row r="1024" spans="1:9" x14ac:dyDescent="0.3">
      <c r="A1024" s="1">
        <v>45497</v>
      </c>
      <c r="B1024" s="4">
        <f t="shared" si="45"/>
        <v>2024</v>
      </c>
      <c r="C1024" s="4">
        <f t="shared" si="46"/>
        <v>7</v>
      </c>
      <c r="D1024" s="2">
        <v>45497.402025543983</v>
      </c>
      <c r="E1024" s="4">
        <f t="shared" si="47"/>
        <v>9</v>
      </c>
      <c r="F1024" t="s">
        <v>3</v>
      </c>
      <c r="G1024" t="s">
        <v>399</v>
      </c>
      <c r="H1024" s="3">
        <v>27.92</v>
      </c>
      <c r="I1024" t="s">
        <v>14</v>
      </c>
    </row>
    <row r="1025" spans="1:9" x14ac:dyDescent="0.3">
      <c r="A1025" s="1">
        <v>45497</v>
      </c>
      <c r="B1025" s="4">
        <f t="shared" ref="B1025:B1088" si="48">YEAR(A1025)</f>
        <v>2024</v>
      </c>
      <c r="C1025" s="4">
        <f t="shared" ref="C1025:C1088" si="49">MONTH(A1025)</f>
        <v>7</v>
      </c>
      <c r="D1025" s="2">
        <v>45497.412933518521</v>
      </c>
      <c r="E1025" s="4">
        <f t="shared" ref="E1025:E1088" si="50">HOUR(D1025)</f>
        <v>9</v>
      </c>
      <c r="F1025" t="s">
        <v>3</v>
      </c>
      <c r="G1025" t="s">
        <v>416</v>
      </c>
      <c r="H1025" s="3">
        <v>18.12</v>
      </c>
      <c r="I1025" t="s">
        <v>35</v>
      </c>
    </row>
    <row r="1026" spans="1:9" x14ac:dyDescent="0.3">
      <c r="A1026" s="1">
        <v>45497</v>
      </c>
      <c r="B1026" s="4">
        <f t="shared" si="48"/>
        <v>2024</v>
      </c>
      <c r="C1026" s="4">
        <f t="shared" si="49"/>
        <v>7</v>
      </c>
      <c r="D1026" s="2">
        <v>45497.488809270835</v>
      </c>
      <c r="E1026" s="4">
        <f t="shared" si="50"/>
        <v>11</v>
      </c>
      <c r="F1026" t="s">
        <v>3</v>
      </c>
      <c r="G1026" t="s">
        <v>393</v>
      </c>
      <c r="H1026" s="3">
        <v>32.82</v>
      </c>
      <c r="I1026" t="s">
        <v>43</v>
      </c>
    </row>
    <row r="1027" spans="1:9" x14ac:dyDescent="0.3">
      <c r="A1027" s="1">
        <v>45497</v>
      </c>
      <c r="B1027" s="4">
        <f t="shared" si="48"/>
        <v>2024</v>
      </c>
      <c r="C1027" s="4">
        <f t="shared" si="49"/>
        <v>7</v>
      </c>
      <c r="D1027" s="2">
        <v>45497.580021076392</v>
      </c>
      <c r="E1027" s="4">
        <f t="shared" si="50"/>
        <v>13</v>
      </c>
      <c r="F1027" t="s">
        <v>3</v>
      </c>
      <c r="G1027" t="s">
        <v>413</v>
      </c>
      <c r="H1027" s="3">
        <v>32.82</v>
      </c>
      <c r="I1027" t="s">
        <v>7</v>
      </c>
    </row>
    <row r="1028" spans="1:9" x14ac:dyDescent="0.3">
      <c r="A1028" s="1">
        <v>45497</v>
      </c>
      <c r="B1028" s="4">
        <f t="shared" si="48"/>
        <v>2024</v>
      </c>
      <c r="C1028" s="4">
        <f t="shared" si="49"/>
        <v>7</v>
      </c>
      <c r="D1028" s="2">
        <v>45497.615159328707</v>
      </c>
      <c r="E1028" s="4">
        <f t="shared" si="50"/>
        <v>14</v>
      </c>
      <c r="F1028" t="s">
        <v>3</v>
      </c>
      <c r="G1028" t="s">
        <v>23</v>
      </c>
      <c r="H1028" s="3">
        <v>18.12</v>
      </c>
      <c r="I1028" t="s">
        <v>35</v>
      </c>
    </row>
    <row r="1029" spans="1:9" x14ac:dyDescent="0.3">
      <c r="A1029" s="1">
        <v>45497</v>
      </c>
      <c r="B1029" s="4">
        <f t="shared" si="48"/>
        <v>2024</v>
      </c>
      <c r="C1029" s="4">
        <f t="shared" si="49"/>
        <v>7</v>
      </c>
      <c r="D1029" s="2">
        <v>45497.637853263892</v>
      </c>
      <c r="E1029" s="4">
        <f t="shared" si="50"/>
        <v>15</v>
      </c>
      <c r="F1029" t="s">
        <v>3</v>
      </c>
      <c r="G1029" t="s">
        <v>19</v>
      </c>
      <c r="H1029" s="3">
        <v>32.82</v>
      </c>
      <c r="I1029" t="s">
        <v>7</v>
      </c>
    </row>
    <row r="1030" spans="1:9" x14ac:dyDescent="0.3">
      <c r="A1030" s="1">
        <v>45497</v>
      </c>
      <c r="B1030" s="4">
        <f t="shared" si="48"/>
        <v>2024</v>
      </c>
      <c r="C1030" s="4">
        <f t="shared" si="49"/>
        <v>7</v>
      </c>
      <c r="D1030" s="2">
        <v>45497.802149050927</v>
      </c>
      <c r="E1030" s="4">
        <f t="shared" si="50"/>
        <v>19</v>
      </c>
      <c r="F1030" t="s">
        <v>3</v>
      </c>
      <c r="G1030" t="s">
        <v>219</v>
      </c>
      <c r="H1030" s="3">
        <v>32.82</v>
      </c>
      <c r="I1030" t="s">
        <v>43</v>
      </c>
    </row>
    <row r="1031" spans="1:9" x14ac:dyDescent="0.3">
      <c r="A1031" s="1">
        <v>45497</v>
      </c>
      <c r="B1031" s="4">
        <f t="shared" si="48"/>
        <v>2024</v>
      </c>
      <c r="C1031" s="4">
        <f t="shared" si="49"/>
        <v>7</v>
      </c>
      <c r="D1031" s="2">
        <v>45497.803469664352</v>
      </c>
      <c r="E1031" s="4">
        <f t="shared" si="50"/>
        <v>19</v>
      </c>
      <c r="F1031" t="s">
        <v>3</v>
      </c>
      <c r="G1031" t="s">
        <v>219</v>
      </c>
      <c r="H1031" s="3">
        <v>32.82</v>
      </c>
      <c r="I1031" t="s">
        <v>43</v>
      </c>
    </row>
    <row r="1032" spans="1:9" x14ac:dyDescent="0.3">
      <c r="A1032" s="1">
        <v>45497</v>
      </c>
      <c r="B1032" s="4">
        <f t="shared" si="48"/>
        <v>2024</v>
      </c>
      <c r="C1032" s="4">
        <f t="shared" si="49"/>
        <v>7</v>
      </c>
      <c r="D1032" s="2">
        <v>45497.887231446759</v>
      </c>
      <c r="E1032" s="4">
        <f t="shared" si="50"/>
        <v>21</v>
      </c>
      <c r="F1032" t="s">
        <v>3</v>
      </c>
      <c r="G1032" t="s">
        <v>54</v>
      </c>
      <c r="H1032" s="3">
        <v>27.92</v>
      </c>
      <c r="I1032" t="s">
        <v>14</v>
      </c>
    </row>
    <row r="1033" spans="1:9" x14ac:dyDescent="0.3">
      <c r="A1033" s="1">
        <v>45497</v>
      </c>
      <c r="B1033" s="4">
        <f t="shared" si="48"/>
        <v>2024</v>
      </c>
      <c r="C1033" s="4">
        <f t="shared" si="49"/>
        <v>7</v>
      </c>
      <c r="D1033" s="2">
        <v>45497.887977939812</v>
      </c>
      <c r="E1033" s="4">
        <f t="shared" si="50"/>
        <v>21</v>
      </c>
      <c r="F1033" t="s">
        <v>3</v>
      </c>
      <c r="G1033" t="s">
        <v>54</v>
      </c>
      <c r="H1033" s="3">
        <v>23.02</v>
      </c>
      <c r="I1033" t="s">
        <v>11</v>
      </c>
    </row>
    <row r="1034" spans="1:9" x14ac:dyDescent="0.3">
      <c r="A1034" s="1">
        <v>45497</v>
      </c>
      <c r="B1034" s="4">
        <f t="shared" si="48"/>
        <v>2024</v>
      </c>
      <c r="C1034" s="4">
        <f t="shared" si="49"/>
        <v>7</v>
      </c>
      <c r="D1034" s="2">
        <v>45497.892563576388</v>
      </c>
      <c r="E1034" s="4">
        <f t="shared" si="50"/>
        <v>21</v>
      </c>
      <c r="F1034" t="s">
        <v>3</v>
      </c>
      <c r="G1034" t="s">
        <v>23</v>
      </c>
      <c r="H1034" s="3">
        <v>23.02</v>
      </c>
      <c r="I1034" t="s">
        <v>11</v>
      </c>
    </row>
    <row r="1035" spans="1:9" x14ac:dyDescent="0.3">
      <c r="A1035" s="1">
        <v>45498</v>
      </c>
      <c r="B1035" s="4">
        <f t="shared" si="48"/>
        <v>2024</v>
      </c>
      <c r="C1035" s="4">
        <f t="shared" si="49"/>
        <v>7</v>
      </c>
      <c r="D1035" s="2">
        <v>45498.329721469905</v>
      </c>
      <c r="E1035" s="4">
        <f t="shared" si="50"/>
        <v>7</v>
      </c>
      <c r="F1035" t="s">
        <v>3</v>
      </c>
      <c r="G1035" t="s">
        <v>23</v>
      </c>
      <c r="H1035" s="3">
        <v>23.02</v>
      </c>
      <c r="I1035" t="s">
        <v>11</v>
      </c>
    </row>
    <row r="1036" spans="1:9" x14ac:dyDescent="0.3">
      <c r="A1036" s="1">
        <v>45498</v>
      </c>
      <c r="B1036" s="4">
        <f t="shared" si="48"/>
        <v>2024</v>
      </c>
      <c r="C1036" s="4">
        <f t="shared" si="49"/>
        <v>7</v>
      </c>
      <c r="D1036" s="2">
        <v>45498.367574398151</v>
      </c>
      <c r="E1036" s="4">
        <f t="shared" si="50"/>
        <v>8</v>
      </c>
      <c r="F1036" t="s">
        <v>3</v>
      </c>
      <c r="G1036" t="s">
        <v>413</v>
      </c>
      <c r="H1036" s="3">
        <v>32.82</v>
      </c>
      <c r="I1036" t="s">
        <v>7</v>
      </c>
    </row>
    <row r="1037" spans="1:9" x14ac:dyDescent="0.3">
      <c r="A1037" s="1">
        <v>45498</v>
      </c>
      <c r="B1037" s="4">
        <f t="shared" si="48"/>
        <v>2024</v>
      </c>
      <c r="C1037" s="4">
        <f t="shared" si="49"/>
        <v>7</v>
      </c>
      <c r="D1037" s="2">
        <v>45498.437322094906</v>
      </c>
      <c r="E1037" s="4">
        <f t="shared" si="50"/>
        <v>10</v>
      </c>
      <c r="F1037" t="s">
        <v>3</v>
      </c>
      <c r="G1037" t="s">
        <v>399</v>
      </c>
      <c r="H1037" s="3">
        <v>27.92</v>
      </c>
      <c r="I1037" t="s">
        <v>14</v>
      </c>
    </row>
    <row r="1038" spans="1:9" x14ac:dyDescent="0.3">
      <c r="A1038" s="1">
        <v>45498</v>
      </c>
      <c r="B1038" s="4">
        <f t="shared" si="48"/>
        <v>2024</v>
      </c>
      <c r="C1038" s="4">
        <f t="shared" si="49"/>
        <v>7</v>
      </c>
      <c r="D1038" s="2">
        <v>45498.476443298612</v>
      </c>
      <c r="E1038" s="4">
        <f t="shared" si="50"/>
        <v>11</v>
      </c>
      <c r="F1038" t="s">
        <v>3</v>
      </c>
      <c r="G1038" t="s">
        <v>389</v>
      </c>
      <c r="H1038" s="3">
        <v>23.02</v>
      </c>
      <c r="I1038" t="s">
        <v>11</v>
      </c>
    </row>
    <row r="1039" spans="1:9" x14ac:dyDescent="0.3">
      <c r="A1039" s="1">
        <v>45498</v>
      </c>
      <c r="B1039" s="4">
        <f t="shared" si="48"/>
        <v>2024</v>
      </c>
      <c r="C1039" s="4">
        <f t="shared" si="49"/>
        <v>7</v>
      </c>
      <c r="D1039" s="2">
        <v>45498.642436481481</v>
      </c>
      <c r="E1039" s="4">
        <f t="shared" si="50"/>
        <v>15</v>
      </c>
      <c r="F1039" t="s">
        <v>3</v>
      </c>
      <c r="G1039" t="s">
        <v>417</v>
      </c>
      <c r="H1039" s="3">
        <v>32.82</v>
      </c>
      <c r="I1039" t="s">
        <v>43</v>
      </c>
    </row>
    <row r="1040" spans="1:9" x14ac:dyDescent="0.3">
      <c r="A1040" s="1">
        <v>45498</v>
      </c>
      <c r="B1040" s="4">
        <f t="shared" si="48"/>
        <v>2024</v>
      </c>
      <c r="C1040" s="4">
        <f t="shared" si="49"/>
        <v>7</v>
      </c>
      <c r="D1040" s="2">
        <v>45498.806258842589</v>
      </c>
      <c r="E1040" s="4">
        <f t="shared" si="50"/>
        <v>19</v>
      </c>
      <c r="F1040" t="s">
        <v>3</v>
      </c>
      <c r="G1040" t="s">
        <v>271</v>
      </c>
      <c r="H1040" s="3">
        <v>32.82</v>
      </c>
      <c r="I1040" t="s">
        <v>43</v>
      </c>
    </row>
    <row r="1041" spans="1:9" x14ac:dyDescent="0.3">
      <c r="A1041" s="1">
        <v>45498</v>
      </c>
      <c r="B1041" s="4">
        <f t="shared" si="48"/>
        <v>2024</v>
      </c>
      <c r="C1041" s="4">
        <f t="shared" si="49"/>
        <v>7</v>
      </c>
      <c r="D1041" s="2">
        <v>45498.879181388889</v>
      </c>
      <c r="E1041" s="4">
        <f t="shared" si="50"/>
        <v>21</v>
      </c>
      <c r="F1041" t="s">
        <v>3</v>
      </c>
      <c r="G1041" t="s">
        <v>418</v>
      </c>
      <c r="H1041" s="3">
        <v>23.02</v>
      </c>
      <c r="I1041" t="s">
        <v>28</v>
      </c>
    </row>
    <row r="1042" spans="1:9" x14ac:dyDescent="0.3">
      <c r="A1042" s="1">
        <v>45498</v>
      </c>
      <c r="B1042" s="4">
        <f t="shared" si="48"/>
        <v>2024</v>
      </c>
      <c r="C1042" s="4">
        <f t="shared" si="49"/>
        <v>7</v>
      </c>
      <c r="D1042" s="2">
        <v>45498.879745393519</v>
      </c>
      <c r="E1042" s="4">
        <f t="shared" si="50"/>
        <v>21</v>
      </c>
      <c r="F1042" t="s">
        <v>3</v>
      </c>
      <c r="G1042" t="s">
        <v>418</v>
      </c>
      <c r="H1042" s="3">
        <v>18.12</v>
      </c>
      <c r="I1042" t="s">
        <v>35</v>
      </c>
    </row>
    <row r="1043" spans="1:9" x14ac:dyDescent="0.3">
      <c r="A1043" s="1">
        <v>45498</v>
      </c>
      <c r="B1043" s="4">
        <f t="shared" si="48"/>
        <v>2024</v>
      </c>
      <c r="C1043" s="4">
        <f t="shared" si="49"/>
        <v>7</v>
      </c>
      <c r="D1043" s="2">
        <v>45498.943649652778</v>
      </c>
      <c r="E1043" s="4">
        <f t="shared" si="50"/>
        <v>22</v>
      </c>
      <c r="F1043" t="s">
        <v>3</v>
      </c>
      <c r="G1043" t="s">
        <v>342</v>
      </c>
      <c r="H1043" s="3">
        <v>23.02</v>
      </c>
      <c r="I1043" t="s">
        <v>28</v>
      </c>
    </row>
    <row r="1044" spans="1:9" x14ac:dyDescent="0.3">
      <c r="A1044" s="1">
        <v>45498</v>
      </c>
      <c r="B1044" s="4">
        <f t="shared" si="48"/>
        <v>2024</v>
      </c>
      <c r="C1044" s="4">
        <f t="shared" si="49"/>
        <v>7</v>
      </c>
      <c r="D1044" s="2">
        <v>45498.944291550928</v>
      </c>
      <c r="E1044" s="4">
        <f t="shared" si="50"/>
        <v>22</v>
      </c>
      <c r="F1044" t="s">
        <v>3</v>
      </c>
      <c r="G1044" t="s">
        <v>419</v>
      </c>
      <c r="H1044" s="3">
        <v>32.82</v>
      </c>
      <c r="I1044" t="s">
        <v>18</v>
      </c>
    </row>
    <row r="1045" spans="1:9" x14ac:dyDescent="0.3">
      <c r="A1045" s="1">
        <v>45499</v>
      </c>
      <c r="B1045" s="4">
        <f t="shared" si="48"/>
        <v>2024</v>
      </c>
      <c r="C1045" s="4">
        <f t="shared" si="49"/>
        <v>7</v>
      </c>
      <c r="D1045" s="2">
        <v>45499.356264733797</v>
      </c>
      <c r="E1045" s="4">
        <f t="shared" si="50"/>
        <v>8</v>
      </c>
      <c r="F1045" t="s">
        <v>3</v>
      </c>
      <c r="G1045" t="s">
        <v>420</v>
      </c>
      <c r="H1045" s="3">
        <v>32.82</v>
      </c>
      <c r="I1045" t="s">
        <v>7</v>
      </c>
    </row>
    <row r="1046" spans="1:9" x14ac:dyDescent="0.3">
      <c r="A1046" s="1">
        <v>45499</v>
      </c>
      <c r="B1046" s="4">
        <f t="shared" si="48"/>
        <v>2024</v>
      </c>
      <c r="C1046" s="4">
        <f t="shared" si="49"/>
        <v>7</v>
      </c>
      <c r="D1046" s="2">
        <v>45499.388627037035</v>
      </c>
      <c r="E1046" s="4">
        <f t="shared" si="50"/>
        <v>9</v>
      </c>
      <c r="F1046" t="s">
        <v>3</v>
      </c>
      <c r="G1046" t="s">
        <v>111</v>
      </c>
      <c r="H1046" s="3">
        <v>27.92</v>
      </c>
      <c r="I1046" t="s">
        <v>14</v>
      </c>
    </row>
    <row r="1047" spans="1:9" x14ac:dyDescent="0.3">
      <c r="A1047" s="1">
        <v>45499</v>
      </c>
      <c r="B1047" s="4">
        <f t="shared" si="48"/>
        <v>2024</v>
      </c>
      <c r="C1047" s="4">
        <f t="shared" si="49"/>
        <v>7</v>
      </c>
      <c r="D1047" s="2">
        <v>45499.38928638889</v>
      </c>
      <c r="E1047" s="4">
        <f t="shared" si="50"/>
        <v>9</v>
      </c>
      <c r="F1047" t="s">
        <v>3</v>
      </c>
      <c r="G1047" t="s">
        <v>73</v>
      </c>
      <c r="H1047" s="3">
        <v>18.12</v>
      </c>
      <c r="I1047" t="s">
        <v>35</v>
      </c>
    </row>
    <row r="1048" spans="1:9" x14ac:dyDescent="0.3">
      <c r="A1048" s="1">
        <v>45499</v>
      </c>
      <c r="B1048" s="4">
        <f t="shared" si="48"/>
        <v>2024</v>
      </c>
      <c r="C1048" s="4">
        <f t="shared" si="49"/>
        <v>7</v>
      </c>
      <c r="D1048" s="2">
        <v>45499.398049895834</v>
      </c>
      <c r="E1048" s="4">
        <f t="shared" si="50"/>
        <v>9</v>
      </c>
      <c r="F1048" t="s">
        <v>3</v>
      </c>
      <c r="G1048" t="s">
        <v>421</v>
      </c>
      <c r="H1048" s="3">
        <v>23.02</v>
      </c>
      <c r="I1048" t="s">
        <v>28</v>
      </c>
    </row>
    <row r="1049" spans="1:9" x14ac:dyDescent="0.3">
      <c r="A1049" s="1">
        <v>45499</v>
      </c>
      <c r="B1049" s="4">
        <f t="shared" si="48"/>
        <v>2024</v>
      </c>
      <c r="C1049" s="4">
        <f t="shared" si="49"/>
        <v>7</v>
      </c>
      <c r="D1049" s="2">
        <v>45499.398803622687</v>
      </c>
      <c r="E1049" s="4">
        <f t="shared" si="50"/>
        <v>9</v>
      </c>
      <c r="F1049" t="s">
        <v>3</v>
      </c>
      <c r="G1049" t="s">
        <v>421</v>
      </c>
      <c r="H1049" s="3">
        <v>23.02</v>
      </c>
      <c r="I1049" t="s">
        <v>28</v>
      </c>
    </row>
    <row r="1050" spans="1:9" x14ac:dyDescent="0.3">
      <c r="A1050" s="1">
        <v>45499</v>
      </c>
      <c r="B1050" s="4">
        <f t="shared" si="48"/>
        <v>2024</v>
      </c>
      <c r="C1050" s="4">
        <f t="shared" si="49"/>
        <v>7</v>
      </c>
      <c r="D1050" s="2">
        <v>45499.416063275465</v>
      </c>
      <c r="E1050" s="4">
        <f t="shared" si="50"/>
        <v>9</v>
      </c>
      <c r="F1050" t="s">
        <v>3</v>
      </c>
      <c r="G1050" t="s">
        <v>422</v>
      </c>
      <c r="H1050" s="3">
        <v>32.82</v>
      </c>
      <c r="I1050" t="s">
        <v>7</v>
      </c>
    </row>
    <row r="1051" spans="1:9" x14ac:dyDescent="0.3">
      <c r="A1051" s="1">
        <v>45499</v>
      </c>
      <c r="B1051" s="4">
        <f t="shared" si="48"/>
        <v>2024</v>
      </c>
      <c r="C1051" s="4">
        <f t="shared" si="49"/>
        <v>7</v>
      </c>
      <c r="D1051" s="2">
        <v>45499.416698136571</v>
      </c>
      <c r="E1051" s="4">
        <f t="shared" si="50"/>
        <v>10</v>
      </c>
      <c r="F1051" t="s">
        <v>3</v>
      </c>
      <c r="G1051" t="s">
        <v>422</v>
      </c>
      <c r="H1051" s="3">
        <v>32.82</v>
      </c>
      <c r="I1051" t="s">
        <v>7</v>
      </c>
    </row>
    <row r="1052" spans="1:9" x14ac:dyDescent="0.3">
      <c r="A1052" s="1">
        <v>45499</v>
      </c>
      <c r="B1052" s="4">
        <f t="shared" si="48"/>
        <v>2024</v>
      </c>
      <c r="C1052" s="4">
        <f t="shared" si="49"/>
        <v>7</v>
      </c>
      <c r="D1052" s="2">
        <v>45499.491132581017</v>
      </c>
      <c r="E1052" s="4">
        <f t="shared" si="50"/>
        <v>11</v>
      </c>
      <c r="F1052" t="s">
        <v>3</v>
      </c>
      <c r="G1052" t="s">
        <v>399</v>
      </c>
      <c r="H1052" s="3">
        <v>27.92</v>
      </c>
      <c r="I1052" t="s">
        <v>14</v>
      </c>
    </row>
    <row r="1053" spans="1:9" x14ac:dyDescent="0.3">
      <c r="A1053" s="1">
        <v>45499</v>
      </c>
      <c r="B1053" s="4">
        <f t="shared" si="48"/>
        <v>2024</v>
      </c>
      <c r="C1053" s="4">
        <f t="shared" si="49"/>
        <v>7</v>
      </c>
      <c r="D1053" s="2">
        <v>45499.504880439817</v>
      </c>
      <c r="E1053" s="4">
        <f t="shared" si="50"/>
        <v>12</v>
      </c>
      <c r="F1053" t="s">
        <v>3</v>
      </c>
      <c r="G1053" t="s">
        <v>393</v>
      </c>
      <c r="H1053" s="3">
        <v>27.92</v>
      </c>
      <c r="I1053" t="s">
        <v>14</v>
      </c>
    </row>
    <row r="1054" spans="1:9" x14ac:dyDescent="0.3">
      <c r="A1054" s="1">
        <v>45499</v>
      </c>
      <c r="B1054" s="4">
        <f t="shared" si="48"/>
        <v>2024</v>
      </c>
      <c r="C1054" s="4">
        <f t="shared" si="49"/>
        <v>7</v>
      </c>
      <c r="D1054" s="2">
        <v>45499.519537546294</v>
      </c>
      <c r="E1054" s="4">
        <f t="shared" si="50"/>
        <v>12</v>
      </c>
      <c r="F1054" t="s">
        <v>3</v>
      </c>
      <c r="G1054" t="s">
        <v>353</v>
      </c>
      <c r="H1054" s="3">
        <v>32.82</v>
      </c>
      <c r="I1054" t="s">
        <v>43</v>
      </c>
    </row>
    <row r="1055" spans="1:9" x14ac:dyDescent="0.3">
      <c r="A1055" s="1">
        <v>45499</v>
      </c>
      <c r="B1055" s="4">
        <f t="shared" si="48"/>
        <v>2024</v>
      </c>
      <c r="C1055" s="4">
        <f t="shared" si="49"/>
        <v>7</v>
      </c>
      <c r="D1055" s="2">
        <v>45499.520343842596</v>
      </c>
      <c r="E1055" s="4">
        <f t="shared" si="50"/>
        <v>12</v>
      </c>
      <c r="F1055" t="s">
        <v>3</v>
      </c>
      <c r="G1055" t="s">
        <v>353</v>
      </c>
      <c r="H1055" s="3">
        <v>32.82</v>
      </c>
      <c r="I1055" t="s">
        <v>43</v>
      </c>
    </row>
    <row r="1056" spans="1:9" x14ac:dyDescent="0.3">
      <c r="A1056" s="1">
        <v>45499</v>
      </c>
      <c r="B1056" s="4">
        <f t="shared" si="48"/>
        <v>2024</v>
      </c>
      <c r="C1056" s="4">
        <f t="shared" si="49"/>
        <v>7</v>
      </c>
      <c r="D1056" s="2">
        <v>45499.548566412035</v>
      </c>
      <c r="E1056" s="4">
        <f t="shared" si="50"/>
        <v>13</v>
      </c>
      <c r="F1056" t="s">
        <v>3</v>
      </c>
      <c r="G1056" t="s">
        <v>423</v>
      </c>
      <c r="H1056" s="3">
        <v>32.82</v>
      </c>
      <c r="I1056" t="s">
        <v>7</v>
      </c>
    </row>
    <row r="1057" spans="1:9" x14ac:dyDescent="0.3">
      <c r="A1057" s="1">
        <v>45499</v>
      </c>
      <c r="B1057" s="4">
        <f t="shared" si="48"/>
        <v>2024</v>
      </c>
      <c r="C1057" s="4">
        <f t="shared" si="49"/>
        <v>7</v>
      </c>
      <c r="D1057" s="2">
        <v>45499.724645219911</v>
      </c>
      <c r="E1057" s="4">
        <f t="shared" si="50"/>
        <v>17</v>
      </c>
      <c r="F1057" t="s">
        <v>3</v>
      </c>
      <c r="G1057" t="s">
        <v>424</v>
      </c>
      <c r="H1057" s="3">
        <v>23.02</v>
      </c>
      <c r="I1057" t="s">
        <v>11</v>
      </c>
    </row>
    <row r="1058" spans="1:9" x14ac:dyDescent="0.3">
      <c r="A1058" s="1">
        <v>45499</v>
      </c>
      <c r="B1058" s="4">
        <f t="shared" si="48"/>
        <v>2024</v>
      </c>
      <c r="C1058" s="4">
        <f t="shared" si="49"/>
        <v>7</v>
      </c>
      <c r="D1058" s="2">
        <v>45499.748949270834</v>
      </c>
      <c r="E1058" s="4">
        <f t="shared" si="50"/>
        <v>17</v>
      </c>
      <c r="F1058" t="s">
        <v>3</v>
      </c>
      <c r="G1058" t="s">
        <v>425</v>
      </c>
      <c r="H1058" s="3">
        <v>32.82</v>
      </c>
      <c r="I1058" t="s">
        <v>43</v>
      </c>
    </row>
    <row r="1059" spans="1:9" x14ac:dyDescent="0.3">
      <c r="A1059" s="1">
        <v>45499</v>
      </c>
      <c r="B1059" s="4">
        <f t="shared" si="48"/>
        <v>2024</v>
      </c>
      <c r="C1059" s="4">
        <f t="shared" si="49"/>
        <v>7</v>
      </c>
      <c r="D1059" s="2">
        <v>45499.885527916667</v>
      </c>
      <c r="E1059" s="4">
        <f t="shared" si="50"/>
        <v>21</v>
      </c>
      <c r="F1059" t="s">
        <v>3</v>
      </c>
      <c r="G1059" t="s">
        <v>19</v>
      </c>
      <c r="H1059" s="3">
        <v>32.82</v>
      </c>
      <c r="I1059" t="s">
        <v>7</v>
      </c>
    </row>
    <row r="1060" spans="1:9" x14ac:dyDescent="0.3">
      <c r="A1060" s="1">
        <v>45499</v>
      </c>
      <c r="B1060" s="4">
        <f t="shared" si="48"/>
        <v>2024</v>
      </c>
      <c r="C1060" s="4">
        <f t="shared" si="49"/>
        <v>7</v>
      </c>
      <c r="D1060" s="2">
        <v>45499.951299976849</v>
      </c>
      <c r="E1060" s="4">
        <f t="shared" si="50"/>
        <v>22</v>
      </c>
      <c r="F1060" t="s">
        <v>3</v>
      </c>
      <c r="G1060" t="s">
        <v>426</v>
      </c>
      <c r="H1060" s="3">
        <v>27.92</v>
      </c>
      <c r="I1060" t="s">
        <v>14</v>
      </c>
    </row>
    <row r="1061" spans="1:9" x14ac:dyDescent="0.3">
      <c r="A1061" s="1">
        <v>45500</v>
      </c>
      <c r="B1061" s="4">
        <f t="shared" si="48"/>
        <v>2024</v>
      </c>
      <c r="C1061" s="4">
        <f t="shared" si="49"/>
        <v>7</v>
      </c>
      <c r="D1061" s="2">
        <v>45500.381440474535</v>
      </c>
      <c r="E1061" s="4">
        <f t="shared" si="50"/>
        <v>9</v>
      </c>
      <c r="F1061" t="s">
        <v>3</v>
      </c>
      <c r="G1061" t="s">
        <v>111</v>
      </c>
      <c r="H1061" s="3">
        <v>32.82</v>
      </c>
      <c r="I1061" t="s">
        <v>43</v>
      </c>
    </row>
    <row r="1062" spans="1:9" x14ac:dyDescent="0.3">
      <c r="A1062" s="1">
        <v>45500</v>
      </c>
      <c r="B1062" s="4">
        <f t="shared" si="48"/>
        <v>2024</v>
      </c>
      <c r="C1062" s="4">
        <f t="shared" si="49"/>
        <v>7</v>
      </c>
      <c r="D1062" s="2">
        <v>45500.496890983799</v>
      </c>
      <c r="E1062" s="4">
        <f t="shared" si="50"/>
        <v>11</v>
      </c>
      <c r="F1062" t="s">
        <v>3</v>
      </c>
      <c r="G1062" t="s">
        <v>427</v>
      </c>
      <c r="H1062" s="3">
        <v>27.92</v>
      </c>
      <c r="I1062" t="s">
        <v>14</v>
      </c>
    </row>
    <row r="1063" spans="1:9" x14ac:dyDescent="0.3">
      <c r="A1063" s="1">
        <v>45500</v>
      </c>
      <c r="B1063" s="4">
        <f t="shared" si="48"/>
        <v>2024</v>
      </c>
      <c r="C1063" s="4">
        <f t="shared" si="49"/>
        <v>7</v>
      </c>
      <c r="D1063" s="2">
        <v>45500.517478182868</v>
      </c>
      <c r="E1063" s="4">
        <f t="shared" si="50"/>
        <v>12</v>
      </c>
      <c r="F1063" t="s">
        <v>3</v>
      </c>
      <c r="G1063" t="s">
        <v>73</v>
      </c>
      <c r="H1063" s="3">
        <v>27.92</v>
      </c>
      <c r="I1063" t="s">
        <v>14</v>
      </c>
    </row>
    <row r="1064" spans="1:9" x14ac:dyDescent="0.3">
      <c r="A1064" s="1">
        <v>45500</v>
      </c>
      <c r="B1064" s="4">
        <f t="shared" si="48"/>
        <v>2024</v>
      </c>
      <c r="C1064" s="4">
        <f t="shared" si="49"/>
        <v>7</v>
      </c>
      <c r="D1064" s="2">
        <v>45500.518207858797</v>
      </c>
      <c r="E1064" s="4">
        <f t="shared" si="50"/>
        <v>12</v>
      </c>
      <c r="F1064" t="s">
        <v>3</v>
      </c>
      <c r="G1064" t="s">
        <v>54</v>
      </c>
      <c r="H1064" s="3">
        <v>18.12</v>
      </c>
      <c r="I1064" t="s">
        <v>35</v>
      </c>
    </row>
    <row r="1065" spans="1:9" x14ac:dyDescent="0.3">
      <c r="A1065" s="1">
        <v>45500</v>
      </c>
      <c r="B1065" s="4">
        <f t="shared" si="48"/>
        <v>2024</v>
      </c>
      <c r="C1065" s="4">
        <f t="shared" si="49"/>
        <v>7</v>
      </c>
      <c r="D1065" s="2">
        <v>45500.523183680554</v>
      </c>
      <c r="E1065" s="4">
        <f t="shared" si="50"/>
        <v>12</v>
      </c>
      <c r="F1065" t="s">
        <v>3</v>
      </c>
      <c r="G1065" t="s">
        <v>73</v>
      </c>
      <c r="H1065" s="3">
        <v>27.92</v>
      </c>
      <c r="I1065" t="s">
        <v>14</v>
      </c>
    </row>
    <row r="1066" spans="1:9" x14ac:dyDescent="0.3">
      <c r="A1066" s="1">
        <v>45500</v>
      </c>
      <c r="B1066" s="4">
        <f t="shared" si="48"/>
        <v>2024</v>
      </c>
      <c r="C1066" s="4">
        <f t="shared" si="49"/>
        <v>7</v>
      </c>
      <c r="D1066" s="2">
        <v>45500.603262777775</v>
      </c>
      <c r="E1066" s="4">
        <f t="shared" si="50"/>
        <v>14</v>
      </c>
      <c r="F1066" t="s">
        <v>3</v>
      </c>
      <c r="G1066" t="s">
        <v>239</v>
      </c>
      <c r="H1066" s="3">
        <v>18.12</v>
      </c>
      <c r="I1066" t="s">
        <v>35</v>
      </c>
    </row>
    <row r="1067" spans="1:9" x14ac:dyDescent="0.3">
      <c r="A1067" s="1">
        <v>45500</v>
      </c>
      <c r="B1067" s="4">
        <f t="shared" si="48"/>
        <v>2024</v>
      </c>
      <c r="C1067" s="4">
        <f t="shared" si="49"/>
        <v>7</v>
      </c>
      <c r="D1067" s="2">
        <v>45500.619365694445</v>
      </c>
      <c r="E1067" s="4">
        <f t="shared" si="50"/>
        <v>14</v>
      </c>
      <c r="F1067" t="s">
        <v>3</v>
      </c>
      <c r="G1067" t="s">
        <v>91</v>
      </c>
      <c r="H1067" s="3">
        <v>32.82</v>
      </c>
      <c r="I1067" t="s">
        <v>7</v>
      </c>
    </row>
    <row r="1068" spans="1:9" x14ac:dyDescent="0.3">
      <c r="A1068" s="1">
        <v>45500</v>
      </c>
      <c r="B1068" s="4">
        <f t="shared" si="48"/>
        <v>2024</v>
      </c>
      <c r="C1068" s="4">
        <f t="shared" si="49"/>
        <v>7</v>
      </c>
      <c r="D1068" s="2">
        <v>45500.710108310188</v>
      </c>
      <c r="E1068" s="4">
        <f t="shared" si="50"/>
        <v>17</v>
      </c>
      <c r="F1068" t="s">
        <v>3</v>
      </c>
      <c r="G1068" t="s">
        <v>428</v>
      </c>
      <c r="H1068" s="3">
        <v>32.82</v>
      </c>
      <c r="I1068" t="s">
        <v>43</v>
      </c>
    </row>
    <row r="1069" spans="1:9" x14ac:dyDescent="0.3">
      <c r="A1069" s="1">
        <v>45500</v>
      </c>
      <c r="B1069" s="4">
        <f t="shared" si="48"/>
        <v>2024</v>
      </c>
      <c r="C1069" s="4">
        <f t="shared" si="49"/>
        <v>7</v>
      </c>
      <c r="D1069" s="2">
        <v>45500.710869351853</v>
      </c>
      <c r="E1069" s="4">
        <f t="shared" si="50"/>
        <v>17</v>
      </c>
      <c r="F1069" t="s">
        <v>3</v>
      </c>
      <c r="G1069" t="s">
        <v>429</v>
      </c>
      <c r="H1069" s="3">
        <v>32.82</v>
      </c>
      <c r="I1069" t="s">
        <v>43</v>
      </c>
    </row>
    <row r="1070" spans="1:9" x14ac:dyDescent="0.3">
      <c r="A1070" s="1">
        <v>45500</v>
      </c>
      <c r="B1070" s="4">
        <f t="shared" si="48"/>
        <v>2024</v>
      </c>
      <c r="C1070" s="4">
        <f t="shared" si="49"/>
        <v>7</v>
      </c>
      <c r="D1070" s="2">
        <v>45500.714588240742</v>
      </c>
      <c r="E1070" s="4">
        <f t="shared" si="50"/>
        <v>17</v>
      </c>
      <c r="F1070" t="s">
        <v>3</v>
      </c>
      <c r="G1070" t="s">
        <v>430</v>
      </c>
      <c r="H1070" s="3">
        <v>27.92</v>
      </c>
      <c r="I1070" t="s">
        <v>14</v>
      </c>
    </row>
    <row r="1071" spans="1:9" x14ac:dyDescent="0.3">
      <c r="A1071" s="1">
        <v>45500</v>
      </c>
      <c r="B1071" s="4">
        <f t="shared" si="48"/>
        <v>2024</v>
      </c>
      <c r="C1071" s="4">
        <f t="shared" si="49"/>
        <v>7</v>
      </c>
      <c r="D1071" s="2">
        <v>45500.715371226848</v>
      </c>
      <c r="E1071" s="4">
        <f t="shared" si="50"/>
        <v>17</v>
      </c>
      <c r="F1071" t="s">
        <v>3</v>
      </c>
      <c r="G1071" t="s">
        <v>430</v>
      </c>
      <c r="H1071" s="3">
        <v>27.92</v>
      </c>
      <c r="I1071" t="s">
        <v>14</v>
      </c>
    </row>
    <row r="1072" spans="1:9" x14ac:dyDescent="0.3">
      <c r="A1072" s="1">
        <v>45500</v>
      </c>
      <c r="B1072" s="4">
        <f t="shared" si="48"/>
        <v>2024</v>
      </c>
      <c r="C1072" s="4">
        <f t="shared" si="49"/>
        <v>7</v>
      </c>
      <c r="D1072" s="2">
        <v>45500.871761284725</v>
      </c>
      <c r="E1072" s="4">
        <f t="shared" si="50"/>
        <v>20</v>
      </c>
      <c r="F1072" t="s">
        <v>3</v>
      </c>
      <c r="G1072" t="s">
        <v>19</v>
      </c>
      <c r="H1072" s="3">
        <v>32.82</v>
      </c>
      <c r="I1072" t="s">
        <v>7</v>
      </c>
    </row>
    <row r="1073" spans="1:9" x14ac:dyDescent="0.3">
      <c r="A1073" s="1">
        <v>45500</v>
      </c>
      <c r="B1073" s="4">
        <f t="shared" si="48"/>
        <v>2024</v>
      </c>
      <c r="C1073" s="4">
        <f t="shared" si="49"/>
        <v>7</v>
      </c>
      <c r="D1073" s="2">
        <v>45500.955832349537</v>
      </c>
      <c r="E1073" s="4">
        <f t="shared" si="50"/>
        <v>22</v>
      </c>
      <c r="F1073" t="s">
        <v>3</v>
      </c>
      <c r="G1073" t="s">
        <v>431</v>
      </c>
      <c r="H1073" s="3">
        <v>32.82</v>
      </c>
      <c r="I1073" t="s">
        <v>43</v>
      </c>
    </row>
    <row r="1074" spans="1:9" x14ac:dyDescent="0.3">
      <c r="A1074" s="1">
        <v>45501</v>
      </c>
      <c r="B1074" s="4">
        <f t="shared" si="48"/>
        <v>2024</v>
      </c>
      <c r="C1074" s="4">
        <f t="shared" si="49"/>
        <v>7</v>
      </c>
      <c r="D1074" s="2">
        <v>45501.463494444448</v>
      </c>
      <c r="E1074" s="4">
        <f t="shared" si="50"/>
        <v>11</v>
      </c>
      <c r="F1074" t="s">
        <v>3</v>
      </c>
      <c r="G1074" t="s">
        <v>23</v>
      </c>
      <c r="H1074" s="3">
        <v>18.12</v>
      </c>
      <c r="I1074" t="s">
        <v>35</v>
      </c>
    </row>
    <row r="1075" spans="1:9" x14ac:dyDescent="0.3">
      <c r="A1075" s="1">
        <v>45501</v>
      </c>
      <c r="B1075" s="4">
        <f t="shared" si="48"/>
        <v>2024</v>
      </c>
      <c r="C1075" s="4">
        <f t="shared" si="49"/>
        <v>7</v>
      </c>
      <c r="D1075" s="2">
        <v>45501.595766261577</v>
      </c>
      <c r="E1075" s="4">
        <f t="shared" si="50"/>
        <v>14</v>
      </c>
      <c r="F1075" t="s">
        <v>3</v>
      </c>
      <c r="G1075" t="s">
        <v>290</v>
      </c>
      <c r="H1075" s="3">
        <v>27.92</v>
      </c>
      <c r="I1075" t="s">
        <v>14</v>
      </c>
    </row>
    <row r="1076" spans="1:9" x14ac:dyDescent="0.3">
      <c r="A1076" s="1">
        <v>45501</v>
      </c>
      <c r="B1076" s="4">
        <f t="shared" si="48"/>
        <v>2024</v>
      </c>
      <c r="C1076" s="4">
        <f t="shared" si="49"/>
        <v>7</v>
      </c>
      <c r="D1076" s="2">
        <v>45501.596437453707</v>
      </c>
      <c r="E1076" s="4">
        <f t="shared" si="50"/>
        <v>14</v>
      </c>
      <c r="F1076" t="s">
        <v>3</v>
      </c>
      <c r="G1076" t="s">
        <v>290</v>
      </c>
      <c r="H1076" s="3">
        <v>32.82</v>
      </c>
      <c r="I1076" t="s">
        <v>7</v>
      </c>
    </row>
    <row r="1077" spans="1:9" x14ac:dyDescent="0.3">
      <c r="A1077" s="1">
        <v>45502</v>
      </c>
      <c r="B1077" s="4">
        <f t="shared" si="48"/>
        <v>2024</v>
      </c>
      <c r="C1077" s="4">
        <f t="shared" si="49"/>
        <v>7</v>
      </c>
      <c r="D1077" s="2">
        <v>45502.341740810189</v>
      </c>
      <c r="E1077" s="4">
        <f t="shared" si="50"/>
        <v>8</v>
      </c>
      <c r="F1077" t="s">
        <v>3</v>
      </c>
      <c r="G1077" t="s">
        <v>432</v>
      </c>
      <c r="H1077" s="3">
        <v>32.82</v>
      </c>
      <c r="I1077" t="s">
        <v>7</v>
      </c>
    </row>
    <row r="1078" spans="1:9" x14ac:dyDescent="0.3">
      <c r="A1078" s="1">
        <v>45502</v>
      </c>
      <c r="B1078" s="4">
        <f t="shared" si="48"/>
        <v>2024</v>
      </c>
      <c r="C1078" s="4">
        <f t="shared" si="49"/>
        <v>7</v>
      </c>
      <c r="D1078" s="2">
        <v>45502.378333009263</v>
      </c>
      <c r="E1078" s="4">
        <f t="shared" si="50"/>
        <v>9</v>
      </c>
      <c r="F1078" t="s">
        <v>3</v>
      </c>
      <c r="G1078" t="s">
        <v>23</v>
      </c>
      <c r="H1078" s="3">
        <v>23.02</v>
      </c>
      <c r="I1078" t="s">
        <v>11</v>
      </c>
    </row>
    <row r="1079" spans="1:9" x14ac:dyDescent="0.3">
      <c r="A1079" s="1">
        <v>45502</v>
      </c>
      <c r="B1079" s="4">
        <f t="shared" si="48"/>
        <v>2024</v>
      </c>
      <c r="C1079" s="4">
        <f t="shared" si="49"/>
        <v>7</v>
      </c>
      <c r="D1079" s="2">
        <v>45502.385950868054</v>
      </c>
      <c r="E1079" s="4">
        <f t="shared" si="50"/>
        <v>9</v>
      </c>
      <c r="F1079" t="s">
        <v>3</v>
      </c>
      <c r="G1079" t="s">
        <v>111</v>
      </c>
      <c r="H1079" s="3">
        <v>27.92</v>
      </c>
      <c r="I1079" t="s">
        <v>14</v>
      </c>
    </row>
    <row r="1080" spans="1:9" x14ac:dyDescent="0.3">
      <c r="A1080" s="1">
        <v>45502</v>
      </c>
      <c r="B1080" s="4">
        <f t="shared" si="48"/>
        <v>2024</v>
      </c>
      <c r="C1080" s="4">
        <f t="shared" si="49"/>
        <v>7</v>
      </c>
      <c r="D1080" s="2">
        <v>45502.388704652774</v>
      </c>
      <c r="E1080" s="4">
        <f t="shared" si="50"/>
        <v>9</v>
      </c>
      <c r="F1080" t="s">
        <v>3</v>
      </c>
      <c r="G1080" t="s">
        <v>10</v>
      </c>
      <c r="H1080" s="3">
        <v>23.02</v>
      </c>
      <c r="I1080" t="s">
        <v>11</v>
      </c>
    </row>
    <row r="1081" spans="1:9" x14ac:dyDescent="0.3">
      <c r="A1081" s="1">
        <v>45502</v>
      </c>
      <c r="B1081" s="4">
        <f t="shared" si="48"/>
        <v>2024</v>
      </c>
      <c r="C1081" s="4">
        <f t="shared" si="49"/>
        <v>7</v>
      </c>
      <c r="D1081" s="2">
        <v>45502.410703090274</v>
      </c>
      <c r="E1081" s="4">
        <f t="shared" si="50"/>
        <v>9</v>
      </c>
      <c r="F1081" t="s">
        <v>3</v>
      </c>
      <c r="G1081" t="s">
        <v>433</v>
      </c>
      <c r="H1081" s="3">
        <v>27.92</v>
      </c>
      <c r="I1081" t="s">
        <v>14</v>
      </c>
    </row>
    <row r="1082" spans="1:9" x14ac:dyDescent="0.3">
      <c r="A1082" s="1">
        <v>45502</v>
      </c>
      <c r="B1082" s="4">
        <f t="shared" si="48"/>
        <v>2024</v>
      </c>
      <c r="C1082" s="4">
        <f t="shared" si="49"/>
        <v>7</v>
      </c>
      <c r="D1082" s="2">
        <v>45502.415620821761</v>
      </c>
      <c r="E1082" s="4">
        <f t="shared" si="50"/>
        <v>9</v>
      </c>
      <c r="F1082" t="s">
        <v>3</v>
      </c>
      <c r="G1082" t="s">
        <v>434</v>
      </c>
      <c r="H1082" s="3">
        <v>32.82</v>
      </c>
      <c r="I1082" t="s">
        <v>43</v>
      </c>
    </row>
    <row r="1083" spans="1:9" x14ac:dyDescent="0.3">
      <c r="A1083" s="1">
        <v>45502</v>
      </c>
      <c r="B1083" s="4">
        <f t="shared" si="48"/>
        <v>2024</v>
      </c>
      <c r="C1083" s="4">
        <f t="shared" si="49"/>
        <v>7</v>
      </c>
      <c r="D1083" s="2">
        <v>45502.447036585647</v>
      </c>
      <c r="E1083" s="4">
        <f t="shared" si="50"/>
        <v>10</v>
      </c>
      <c r="F1083" t="s">
        <v>3</v>
      </c>
      <c r="G1083" t="s">
        <v>435</v>
      </c>
      <c r="H1083" s="3">
        <v>32.82</v>
      </c>
      <c r="I1083" t="s">
        <v>9</v>
      </c>
    </row>
    <row r="1084" spans="1:9" x14ac:dyDescent="0.3">
      <c r="A1084" s="1">
        <v>45502</v>
      </c>
      <c r="B1084" s="4">
        <f t="shared" si="48"/>
        <v>2024</v>
      </c>
      <c r="C1084" s="4">
        <f t="shared" si="49"/>
        <v>7</v>
      </c>
      <c r="D1084" s="2">
        <v>45502.447868587966</v>
      </c>
      <c r="E1084" s="4">
        <f t="shared" si="50"/>
        <v>10</v>
      </c>
      <c r="F1084" t="s">
        <v>3</v>
      </c>
      <c r="G1084" t="s">
        <v>435</v>
      </c>
      <c r="H1084" s="3">
        <v>32.82</v>
      </c>
      <c r="I1084" t="s">
        <v>9</v>
      </c>
    </row>
    <row r="1085" spans="1:9" x14ac:dyDescent="0.3">
      <c r="A1085" s="1">
        <v>45502</v>
      </c>
      <c r="B1085" s="4">
        <f t="shared" si="48"/>
        <v>2024</v>
      </c>
      <c r="C1085" s="4">
        <f t="shared" si="49"/>
        <v>7</v>
      </c>
      <c r="D1085" s="2">
        <v>45502.79619364583</v>
      </c>
      <c r="E1085" s="4">
        <f t="shared" si="50"/>
        <v>19</v>
      </c>
      <c r="F1085" t="s">
        <v>3</v>
      </c>
      <c r="G1085" t="s">
        <v>436</v>
      </c>
      <c r="H1085" s="3">
        <v>32.82</v>
      </c>
      <c r="I1085" t="s">
        <v>43</v>
      </c>
    </row>
    <row r="1086" spans="1:9" x14ac:dyDescent="0.3">
      <c r="A1086" s="1">
        <v>45502</v>
      </c>
      <c r="B1086" s="4">
        <f t="shared" si="48"/>
        <v>2024</v>
      </c>
      <c r="C1086" s="4">
        <f t="shared" si="49"/>
        <v>7</v>
      </c>
      <c r="D1086" s="2">
        <v>45502.812688877311</v>
      </c>
      <c r="E1086" s="4">
        <f t="shared" si="50"/>
        <v>19</v>
      </c>
      <c r="F1086" t="s">
        <v>3</v>
      </c>
      <c r="G1086" t="s">
        <v>113</v>
      </c>
      <c r="H1086" s="3">
        <v>23.02</v>
      </c>
      <c r="I1086" t="s">
        <v>11</v>
      </c>
    </row>
    <row r="1087" spans="1:9" x14ac:dyDescent="0.3">
      <c r="A1087" s="1">
        <v>45502</v>
      </c>
      <c r="B1087" s="4">
        <f t="shared" si="48"/>
        <v>2024</v>
      </c>
      <c r="C1087" s="4">
        <f t="shared" si="49"/>
        <v>7</v>
      </c>
      <c r="D1087" s="2">
        <v>45502.914981701389</v>
      </c>
      <c r="E1087" s="4">
        <f t="shared" si="50"/>
        <v>21</v>
      </c>
      <c r="F1087" t="s">
        <v>3</v>
      </c>
      <c r="G1087" t="s">
        <v>342</v>
      </c>
      <c r="H1087" s="3">
        <v>32.82</v>
      </c>
      <c r="I1087" t="s">
        <v>18</v>
      </c>
    </row>
    <row r="1088" spans="1:9" x14ac:dyDescent="0.3">
      <c r="A1088" s="1">
        <v>45503</v>
      </c>
      <c r="B1088" s="4">
        <f t="shared" si="48"/>
        <v>2024</v>
      </c>
      <c r="C1088" s="4">
        <f t="shared" si="49"/>
        <v>7</v>
      </c>
      <c r="D1088" s="2">
        <v>45503.320265567127</v>
      </c>
      <c r="E1088" s="4">
        <f t="shared" si="50"/>
        <v>7</v>
      </c>
      <c r="F1088" t="s">
        <v>3</v>
      </c>
      <c r="G1088" t="s">
        <v>437</v>
      </c>
      <c r="H1088" s="3">
        <v>27.92</v>
      </c>
      <c r="I1088" t="s">
        <v>14</v>
      </c>
    </row>
    <row r="1089" spans="1:9" x14ac:dyDescent="0.3">
      <c r="A1089" s="1">
        <v>45503</v>
      </c>
      <c r="B1089" s="4">
        <f t="shared" ref="B1089:B1133" si="51">YEAR(A1089)</f>
        <v>2024</v>
      </c>
      <c r="C1089" s="4">
        <f t="shared" ref="C1089:C1133" si="52">MONTH(A1089)</f>
        <v>7</v>
      </c>
      <c r="D1089" s="2">
        <v>45503.336889074075</v>
      </c>
      <c r="E1089" s="4">
        <f t="shared" ref="E1089:E1133" si="53">HOUR(D1089)</f>
        <v>8</v>
      </c>
      <c r="F1089" t="s">
        <v>3</v>
      </c>
      <c r="G1089" t="s">
        <v>438</v>
      </c>
      <c r="H1089" s="3">
        <v>23.02</v>
      </c>
      <c r="I1089" t="s">
        <v>28</v>
      </c>
    </row>
    <row r="1090" spans="1:9" x14ac:dyDescent="0.3">
      <c r="A1090" s="1">
        <v>45503</v>
      </c>
      <c r="B1090" s="4">
        <f t="shared" si="51"/>
        <v>2024</v>
      </c>
      <c r="C1090" s="4">
        <f t="shared" si="52"/>
        <v>7</v>
      </c>
      <c r="D1090" s="2">
        <v>45503.347813831017</v>
      </c>
      <c r="E1090" s="4">
        <f t="shared" si="53"/>
        <v>8</v>
      </c>
      <c r="F1090" t="s">
        <v>3</v>
      </c>
      <c r="G1090" t="s">
        <v>439</v>
      </c>
      <c r="H1090" s="3">
        <v>32.82</v>
      </c>
      <c r="I1090" t="s">
        <v>43</v>
      </c>
    </row>
    <row r="1091" spans="1:9" x14ac:dyDescent="0.3">
      <c r="A1091" s="1">
        <v>45503</v>
      </c>
      <c r="B1091" s="4">
        <f t="shared" si="51"/>
        <v>2024</v>
      </c>
      <c r="C1091" s="4">
        <f t="shared" si="52"/>
        <v>7</v>
      </c>
      <c r="D1091" s="2">
        <v>45503.384527974536</v>
      </c>
      <c r="E1091" s="4">
        <f t="shared" si="53"/>
        <v>9</v>
      </c>
      <c r="F1091" t="s">
        <v>3</v>
      </c>
      <c r="G1091" t="s">
        <v>111</v>
      </c>
      <c r="H1091" s="3">
        <v>27.92</v>
      </c>
      <c r="I1091" t="s">
        <v>14</v>
      </c>
    </row>
    <row r="1092" spans="1:9" x14ac:dyDescent="0.3">
      <c r="A1092" s="1">
        <v>45503</v>
      </c>
      <c r="B1092" s="4">
        <f t="shared" si="51"/>
        <v>2024</v>
      </c>
      <c r="C1092" s="4">
        <f t="shared" si="52"/>
        <v>7</v>
      </c>
      <c r="D1092" s="2">
        <v>45503.428601238425</v>
      </c>
      <c r="E1092" s="4">
        <f t="shared" si="53"/>
        <v>10</v>
      </c>
      <c r="F1092" t="s">
        <v>3</v>
      </c>
      <c r="G1092" t="s">
        <v>155</v>
      </c>
      <c r="H1092" s="3">
        <v>23.02</v>
      </c>
      <c r="I1092" t="s">
        <v>28</v>
      </c>
    </row>
    <row r="1093" spans="1:9" x14ac:dyDescent="0.3">
      <c r="A1093" s="1">
        <v>45503</v>
      </c>
      <c r="B1093" s="4">
        <f t="shared" si="51"/>
        <v>2024</v>
      </c>
      <c r="C1093" s="4">
        <f t="shared" si="52"/>
        <v>7</v>
      </c>
      <c r="D1093" s="2">
        <v>45503.430257094908</v>
      </c>
      <c r="E1093" s="4">
        <f t="shared" si="53"/>
        <v>10</v>
      </c>
      <c r="F1093" t="s">
        <v>3</v>
      </c>
      <c r="G1093" t="s">
        <v>290</v>
      </c>
      <c r="H1093" s="3">
        <v>27.92</v>
      </c>
      <c r="I1093" t="s">
        <v>14</v>
      </c>
    </row>
    <row r="1094" spans="1:9" x14ac:dyDescent="0.3">
      <c r="A1094" s="1">
        <v>45503</v>
      </c>
      <c r="B1094" s="4">
        <f t="shared" si="51"/>
        <v>2024</v>
      </c>
      <c r="C1094" s="4">
        <f t="shared" si="52"/>
        <v>7</v>
      </c>
      <c r="D1094" s="2">
        <v>45503.432871759258</v>
      </c>
      <c r="E1094" s="4">
        <f t="shared" si="53"/>
        <v>10</v>
      </c>
      <c r="F1094" t="s">
        <v>3</v>
      </c>
      <c r="G1094" t="s">
        <v>264</v>
      </c>
      <c r="H1094" s="3">
        <v>32.82</v>
      </c>
      <c r="I1094" t="s">
        <v>7</v>
      </c>
    </row>
    <row r="1095" spans="1:9" x14ac:dyDescent="0.3">
      <c r="A1095" s="1">
        <v>45503</v>
      </c>
      <c r="B1095" s="4">
        <f t="shared" si="51"/>
        <v>2024</v>
      </c>
      <c r="C1095" s="4">
        <f t="shared" si="52"/>
        <v>7</v>
      </c>
      <c r="D1095" s="2">
        <v>45503.466751840278</v>
      </c>
      <c r="E1095" s="4">
        <f t="shared" si="53"/>
        <v>11</v>
      </c>
      <c r="F1095" t="s">
        <v>3</v>
      </c>
      <c r="G1095" t="s">
        <v>440</v>
      </c>
      <c r="H1095" s="3">
        <v>23.02</v>
      </c>
      <c r="I1095" t="s">
        <v>11</v>
      </c>
    </row>
    <row r="1096" spans="1:9" x14ac:dyDescent="0.3">
      <c r="A1096" s="1">
        <v>45503</v>
      </c>
      <c r="B1096" s="4">
        <f t="shared" si="51"/>
        <v>2024</v>
      </c>
      <c r="C1096" s="4">
        <f t="shared" si="52"/>
        <v>7</v>
      </c>
      <c r="D1096" s="2">
        <v>45503.467548819448</v>
      </c>
      <c r="E1096" s="4">
        <f t="shared" si="53"/>
        <v>11</v>
      </c>
      <c r="F1096" t="s">
        <v>3</v>
      </c>
      <c r="G1096" t="s">
        <v>440</v>
      </c>
      <c r="H1096" s="3">
        <v>18.12</v>
      </c>
      <c r="I1096" t="s">
        <v>35</v>
      </c>
    </row>
    <row r="1097" spans="1:9" x14ac:dyDescent="0.3">
      <c r="A1097" s="1">
        <v>45503</v>
      </c>
      <c r="B1097" s="4">
        <f t="shared" si="51"/>
        <v>2024</v>
      </c>
      <c r="C1097" s="4">
        <f t="shared" si="52"/>
        <v>7</v>
      </c>
      <c r="D1097" s="2">
        <v>45503.468537939814</v>
      </c>
      <c r="E1097" s="4">
        <f t="shared" si="53"/>
        <v>11</v>
      </c>
      <c r="F1097" t="s">
        <v>3</v>
      </c>
      <c r="G1097" t="s">
        <v>441</v>
      </c>
      <c r="H1097" s="3">
        <v>27.92</v>
      </c>
      <c r="I1097" t="s">
        <v>14</v>
      </c>
    </row>
    <row r="1098" spans="1:9" x14ac:dyDescent="0.3">
      <c r="A1098" s="1">
        <v>45503</v>
      </c>
      <c r="B1098" s="4">
        <f t="shared" si="51"/>
        <v>2024</v>
      </c>
      <c r="C1098" s="4">
        <f t="shared" si="52"/>
        <v>7</v>
      </c>
      <c r="D1098" s="2">
        <v>45503.469463310183</v>
      </c>
      <c r="E1098" s="4">
        <f t="shared" si="53"/>
        <v>11</v>
      </c>
      <c r="F1098" t="s">
        <v>3</v>
      </c>
      <c r="G1098" t="s">
        <v>442</v>
      </c>
      <c r="H1098" s="3">
        <v>27.92</v>
      </c>
      <c r="I1098" t="s">
        <v>14</v>
      </c>
    </row>
    <row r="1099" spans="1:9" x14ac:dyDescent="0.3">
      <c r="A1099" s="1">
        <v>45503</v>
      </c>
      <c r="B1099" s="4">
        <f t="shared" si="51"/>
        <v>2024</v>
      </c>
      <c r="C1099" s="4">
        <f t="shared" si="52"/>
        <v>7</v>
      </c>
      <c r="D1099" s="2">
        <v>45503.47956871528</v>
      </c>
      <c r="E1099" s="4">
        <f t="shared" si="53"/>
        <v>11</v>
      </c>
      <c r="F1099" t="s">
        <v>3</v>
      </c>
      <c r="G1099" t="s">
        <v>443</v>
      </c>
      <c r="H1099" s="3">
        <v>27.92</v>
      </c>
      <c r="I1099" t="s">
        <v>14</v>
      </c>
    </row>
    <row r="1100" spans="1:9" x14ac:dyDescent="0.3">
      <c r="A1100" s="1">
        <v>45503</v>
      </c>
      <c r="B1100" s="4">
        <f t="shared" si="51"/>
        <v>2024</v>
      </c>
      <c r="C1100" s="4">
        <f t="shared" si="52"/>
        <v>7</v>
      </c>
      <c r="D1100" s="2">
        <v>45503.480333437503</v>
      </c>
      <c r="E1100" s="4">
        <f t="shared" si="53"/>
        <v>11</v>
      </c>
      <c r="F1100" t="s">
        <v>3</v>
      </c>
      <c r="G1100" t="s">
        <v>444</v>
      </c>
      <c r="H1100" s="3">
        <v>27.92</v>
      </c>
      <c r="I1100" t="s">
        <v>14</v>
      </c>
    </row>
    <row r="1101" spans="1:9" x14ac:dyDescent="0.3">
      <c r="A1101" s="1">
        <v>45503</v>
      </c>
      <c r="B1101" s="4">
        <f t="shared" si="51"/>
        <v>2024</v>
      </c>
      <c r="C1101" s="4">
        <f t="shared" si="52"/>
        <v>7</v>
      </c>
      <c r="D1101" s="2">
        <v>45503.505642453703</v>
      </c>
      <c r="E1101" s="4">
        <f t="shared" si="53"/>
        <v>12</v>
      </c>
      <c r="F1101" t="s">
        <v>3</v>
      </c>
      <c r="G1101" t="s">
        <v>445</v>
      </c>
      <c r="H1101" s="3">
        <v>32.82</v>
      </c>
      <c r="I1101" t="s">
        <v>7</v>
      </c>
    </row>
    <row r="1102" spans="1:9" x14ac:dyDescent="0.3">
      <c r="A1102" s="1">
        <v>45503</v>
      </c>
      <c r="B1102" s="4">
        <f t="shared" si="51"/>
        <v>2024</v>
      </c>
      <c r="C1102" s="4">
        <f t="shared" si="52"/>
        <v>7</v>
      </c>
      <c r="D1102" s="2">
        <v>45503.636222546294</v>
      </c>
      <c r="E1102" s="4">
        <f t="shared" si="53"/>
        <v>15</v>
      </c>
      <c r="F1102" t="s">
        <v>3</v>
      </c>
      <c r="G1102" t="s">
        <v>446</v>
      </c>
      <c r="H1102" s="3">
        <v>27.92</v>
      </c>
      <c r="I1102" t="s">
        <v>14</v>
      </c>
    </row>
    <row r="1103" spans="1:9" x14ac:dyDescent="0.3">
      <c r="A1103" s="1">
        <v>45503</v>
      </c>
      <c r="B1103" s="4">
        <f t="shared" si="51"/>
        <v>2024</v>
      </c>
      <c r="C1103" s="4">
        <f t="shared" si="52"/>
        <v>7</v>
      </c>
      <c r="D1103" s="2">
        <v>45503.672834212965</v>
      </c>
      <c r="E1103" s="4">
        <f t="shared" si="53"/>
        <v>16</v>
      </c>
      <c r="F1103" t="s">
        <v>3</v>
      </c>
      <c r="G1103" t="s">
        <v>447</v>
      </c>
      <c r="H1103" s="3">
        <v>23.02</v>
      </c>
      <c r="I1103" t="s">
        <v>28</v>
      </c>
    </row>
    <row r="1104" spans="1:9" x14ac:dyDescent="0.3">
      <c r="A1104" s="1">
        <v>45503</v>
      </c>
      <c r="B1104" s="4">
        <f t="shared" si="51"/>
        <v>2024</v>
      </c>
      <c r="C1104" s="4">
        <f t="shared" si="52"/>
        <v>7</v>
      </c>
      <c r="D1104" s="2">
        <v>45503.673421608793</v>
      </c>
      <c r="E1104" s="4">
        <f t="shared" si="53"/>
        <v>16</v>
      </c>
      <c r="F1104" t="s">
        <v>3</v>
      </c>
      <c r="G1104" t="s">
        <v>447</v>
      </c>
      <c r="H1104" s="3">
        <v>27.92</v>
      </c>
      <c r="I1104" t="s">
        <v>14</v>
      </c>
    </row>
    <row r="1105" spans="1:9" x14ac:dyDescent="0.3">
      <c r="A1105" s="1">
        <v>45503</v>
      </c>
      <c r="B1105" s="4">
        <f t="shared" si="51"/>
        <v>2024</v>
      </c>
      <c r="C1105" s="4">
        <f t="shared" si="52"/>
        <v>7</v>
      </c>
      <c r="D1105" s="2">
        <v>45503.850230023148</v>
      </c>
      <c r="E1105" s="4">
        <f t="shared" si="53"/>
        <v>20</v>
      </c>
      <c r="F1105" t="s">
        <v>3</v>
      </c>
      <c r="G1105" t="s">
        <v>448</v>
      </c>
      <c r="H1105" s="3">
        <v>18.12</v>
      </c>
      <c r="I1105" t="s">
        <v>35</v>
      </c>
    </row>
    <row r="1106" spans="1:9" x14ac:dyDescent="0.3">
      <c r="A1106" s="1">
        <v>45503</v>
      </c>
      <c r="B1106" s="4">
        <f t="shared" si="51"/>
        <v>2024</v>
      </c>
      <c r="C1106" s="4">
        <f t="shared" si="52"/>
        <v>7</v>
      </c>
      <c r="D1106" s="2">
        <v>45503.870739189813</v>
      </c>
      <c r="E1106" s="4">
        <f t="shared" si="53"/>
        <v>20</v>
      </c>
      <c r="F1106" t="s">
        <v>3</v>
      </c>
      <c r="G1106" t="s">
        <v>111</v>
      </c>
      <c r="H1106" s="3">
        <v>27.92</v>
      </c>
      <c r="I1106" t="s">
        <v>14</v>
      </c>
    </row>
    <row r="1107" spans="1:9" x14ac:dyDescent="0.3">
      <c r="A1107" s="1">
        <v>45503</v>
      </c>
      <c r="B1107" s="4">
        <f t="shared" si="51"/>
        <v>2024</v>
      </c>
      <c r="C1107" s="4">
        <f t="shared" si="52"/>
        <v>7</v>
      </c>
      <c r="D1107" s="2">
        <v>45503.871369398148</v>
      </c>
      <c r="E1107" s="4">
        <f t="shared" si="53"/>
        <v>20</v>
      </c>
      <c r="F1107" t="s">
        <v>3</v>
      </c>
      <c r="G1107" t="s">
        <v>111</v>
      </c>
      <c r="H1107" s="3">
        <v>27.92</v>
      </c>
      <c r="I1107" t="s">
        <v>14</v>
      </c>
    </row>
    <row r="1108" spans="1:9" x14ac:dyDescent="0.3">
      <c r="A1108" s="1">
        <v>45503</v>
      </c>
      <c r="B1108" s="4">
        <f t="shared" si="51"/>
        <v>2024</v>
      </c>
      <c r="C1108" s="4">
        <f t="shared" si="52"/>
        <v>7</v>
      </c>
      <c r="D1108" s="2">
        <v>45503.872943564813</v>
      </c>
      <c r="E1108" s="4">
        <f t="shared" si="53"/>
        <v>20</v>
      </c>
      <c r="F1108" t="s">
        <v>3</v>
      </c>
      <c r="G1108" t="s">
        <v>361</v>
      </c>
      <c r="H1108" s="3">
        <v>27.92</v>
      </c>
      <c r="I1108" t="s">
        <v>14</v>
      </c>
    </row>
    <row r="1109" spans="1:9" x14ac:dyDescent="0.3">
      <c r="A1109" s="1">
        <v>45503</v>
      </c>
      <c r="B1109" s="4">
        <f t="shared" si="51"/>
        <v>2024</v>
      </c>
      <c r="C1109" s="4">
        <f t="shared" si="52"/>
        <v>7</v>
      </c>
      <c r="D1109" s="2">
        <v>45503.898138865741</v>
      </c>
      <c r="E1109" s="4">
        <f t="shared" si="53"/>
        <v>21</v>
      </c>
      <c r="F1109" t="s">
        <v>3</v>
      </c>
      <c r="G1109" t="s">
        <v>449</v>
      </c>
      <c r="H1109" s="3">
        <v>32.82</v>
      </c>
      <c r="I1109" t="s">
        <v>7</v>
      </c>
    </row>
    <row r="1110" spans="1:9" x14ac:dyDescent="0.3">
      <c r="A1110" s="1">
        <v>45503</v>
      </c>
      <c r="B1110" s="4">
        <f t="shared" si="51"/>
        <v>2024</v>
      </c>
      <c r="C1110" s="4">
        <f t="shared" si="52"/>
        <v>7</v>
      </c>
      <c r="D1110" s="2">
        <v>45503.927331990744</v>
      </c>
      <c r="E1110" s="4">
        <f t="shared" si="53"/>
        <v>22</v>
      </c>
      <c r="F1110" t="s">
        <v>3</v>
      </c>
      <c r="G1110" t="s">
        <v>450</v>
      </c>
      <c r="H1110" s="3">
        <v>23.02</v>
      </c>
      <c r="I1110" t="s">
        <v>11</v>
      </c>
    </row>
    <row r="1111" spans="1:9" x14ac:dyDescent="0.3">
      <c r="A1111" s="1">
        <v>45503</v>
      </c>
      <c r="B1111" s="4">
        <f t="shared" si="51"/>
        <v>2024</v>
      </c>
      <c r="C1111" s="4">
        <f t="shared" si="52"/>
        <v>7</v>
      </c>
      <c r="D1111" s="2">
        <v>45503.928000694446</v>
      </c>
      <c r="E1111" s="4">
        <f t="shared" si="53"/>
        <v>22</v>
      </c>
      <c r="F1111" t="s">
        <v>3</v>
      </c>
      <c r="G1111" t="s">
        <v>450</v>
      </c>
      <c r="H1111" s="3">
        <v>32.82</v>
      </c>
      <c r="I1111" t="s">
        <v>43</v>
      </c>
    </row>
    <row r="1112" spans="1:9" x14ac:dyDescent="0.3">
      <c r="A1112" s="1">
        <v>45504</v>
      </c>
      <c r="B1112" s="4">
        <f t="shared" si="51"/>
        <v>2024</v>
      </c>
      <c r="C1112" s="4">
        <f t="shared" si="52"/>
        <v>7</v>
      </c>
      <c r="D1112" s="2">
        <v>45504.333241875</v>
      </c>
      <c r="E1112" s="4">
        <f t="shared" si="53"/>
        <v>7</v>
      </c>
      <c r="F1112" t="s">
        <v>3</v>
      </c>
      <c r="G1112" t="s">
        <v>437</v>
      </c>
      <c r="H1112" s="3">
        <v>27.92</v>
      </c>
      <c r="I1112" t="s">
        <v>14</v>
      </c>
    </row>
    <row r="1113" spans="1:9" x14ac:dyDescent="0.3">
      <c r="A1113" s="1">
        <v>45504</v>
      </c>
      <c r="B1113" s="4">
        <f t="shared" si="51"/>
        <v>2024</v>
      </c>
      <c r="C1113" s="4">
        <f t="shared" si="52"/>
        <v>7</v>
      </c>
      <c r="D1113" s="2">
        <v>45504.359513229167</v>
      </c>
      <c r="E1113" s="4">
        <f t="shared" si="53"/>
        <v>8</v>
      </c>
      <c r="F1113" t="s">
        <v>3</v>
      </c>
      <c r="G1113" t="s">
        <v>451</v>
      </c>
      <c r="H1113" s="3">
        <v>27.92</v>
      </c>
      <c r="I1113" t="s">
        <v>14</v>
      </c>
    </row>
    <row r="1114" spans="1:9" x14ac:dyDescent="0.3">
      <c r="A1114" s="1">
        <v>45504</v>
      </c>
      <c r="B1114" s="4">
        <f t="shared" si="51"/>
        <v>2024</v>
      </c>
      <c r="C1114" s="4">
        <f t="shared" si="52"/>
        <v>7</v>
      </c>
      <c r="D1114" s="2">
        <v>45504.360164768521</v>
      </c>
      <c r="E1114" s="4">
        <f t="shared" si="53"/>
        <v>8</v>
      </c>
      <c r="F1114" t="s">
        <v>3</v>
      </c>
      <c r="G1114" t="s">
        <v>451</v>
      </c>
      <c r="H1114" s="3">
        <v>27.92</v>
      </c>
      <c r="I1114" t="s">
        <v>14</v>
      </c>
    </row>
    <row r="1115" spans="1:9" x14ac:dyDescent="0.3">
      <c r="A1115" s="1">
        <v>45504</v>
      </c>
      <c r="B1115" s="4">
        <f t="shared" si="51"/>
        <v>2024</v>
      </c>
      <c r="C1115" s="4">
        <f t="shared" si="52"/>
        <v>7</v>
      </c>
      <c r="D1115" s="2">
        <v>45504.413024479167</v>
      </c>
      <c r="E1115" s="4">
        <f t="shared" si="53"/>
        <v>9</v>
      </c>
      <c r="F1115" t="s">
        <v>3</v>
      </c>
      <c r="G1115" t="s">
        <v>402</v>
      </c>
      <c r="H1115" s="3">
        <v>23.02</v>
      </c>
      <c r="I1115" t="s">
        <v>11</v>
      </c>
    </row>
    <row r="1116" spans="1:9" x14ac:dyDescent="0.3">
      <c r="A1116" s="1">
        <v>45504</v>
      </c>
      <c r="B1116" s="4">
        <f t="shared" si="51"/>
        <v>2024</v>
      </c>
      <c r="C1116" s="4">
        <f t="shared" si="52"/>
        <v>7</v>
      </c>
      <c r="D1116" s="2">
        <v>45504.413716921299</v>
      </c>
      <c r="E1116" s="4">
        <f t="shared" si="53"/>
        <v>9</v>
      </c>
      <c r="F1116" t="s">
        <v>3</v>
      </c>
      <c r="G1116" t="s">
        <v>402</v>
      </c>
      <c r="H1116" s="3">
        <v>23.02</v>
      </c>
      <c r="I1116" t="s">
        <v>11</v>
      </c>
    </row>
    <row r="1117" spans="1:9" x14ac:dyDescent="0.3">
      <c r="A1117" s="1">
        <v>45504</v>
      </c>
      <c r="B1117" s="4">
        <f t="shared" si="51"/>
        <v>2024</v>
      </c>
      <c r="C1117" s="4">
        <f t="shared" si="52"/>
        <v>7</v>
      </c>
      <c r="D1117" s="2">
        <v>45504.415461377313</v>
      </c>
      <c r="E1117" s="4">
        <f t="shared" si="53"/>
        <v>9</v>
      </c>
      <c r="F1117" t="s">
        <v>3</v>
      </c>
      <c r="G1117" t="s">
        <v>290</v>
      </c>
      <c r="H1117" s="3">
        <v>27.92</v>
      </c>
      <c r="I1117" t="s">
        <v>14</v>
      </c>
    </row>
    <row r="1118" spans="1:9" x14ac:dyDescent="0.3">
      <c r="A1118" s="1">
        <v>45504</v>
      </c>
      <c r="B1118" s="4">
        <f t="shared" si="51"/>
        <v>2024</v>
      </c>
      <c r="C1118" s="4">
        <f t="shared" si="52"/>
        <v>7</v>
      </c>
      <c r="D1118" s="2">
        <v>45504.549798715278</v>
      </c>
      <c r="E1118" s="4">
        <f t="shared" si="53"/>
        <v>13</v>
      </c>
      <c r="F1118" t="s">
        <v>3</v>
      </c>
      <c r="G1118" t="s">
        <v>398</v>
      </c>
      <c r="H1118" s="3">
        <v>32.82</v>
      </c>
      <c r="I1118" t="s">
        <v>18</v>
      </c>
    </row>
    <row r="1119" spans="1:9" x14ac:dyDescent="0.3">
      <c r="A1119" s="1">
        <v>45504</v>
      </c>
      <c r="B1119" s="4">
        <f t="shared" si="51"/>
        <v>2024</v>
      </c>
      <c r="C1119" s="4">
        <f t="shared" si="52"/>
        <v>7</v>
      </c>
      <c r="D1119" s="2">
        <v>45504.551392199071</v>
      </c>
      <c r="E1119" s="4">
        <f t="shared" si="53"/>
        <v>13</v>
      </c>
      <c r="F1119" t="s">
        <v>3</v>
      </c>
      <c r="G1119" t="s">
        <v>398</v>
      </c>
      <c r="H1119" s="3">
        <v>32.82</v>
      </c>
      <c r="I1119" t="s">
        <v>7</v>
      </c>
    </row>
    <row r="1120" spans="1:9" x14ac:dyDescent="0.3">
      <c r="A1120" s="1">
        <v>45504</v>
      </c>
      <c r="B1120" s="4">
        <f t="shared" si="51"/>
        <v>2024</v>
      </c>
      <c r="C1120" s="4">
        <f t="shared" si="52"/>
        <v>7</v>
      </c>
      <c r="D1120" s="2">
        <v>45504.558905520833</v>
      </c>
      <c r="E1120" s="4">
        <f t="shared" si="53"/>
        <v>13</v>
      </c>
      <c r="F1120" t="s">
        <v>3</v>
      </c>
      <c r="G1120" t="s">
        <v>452</v>
      </c>
      <c r="H1120" s="3">
        <v>27.92</v>
      </c>
      <c r="I1120" t="s">
        <v>14</v>
      </c>
    </row>
    <row r="1121" spans="1:9" x14ac:dyDescent="0.3">
      <c r="A1121" s="1">
        <v>45504</v>
      </c>
      <c r="B1121" s="4">
        <f t="shared" si="51"/>
        <v>2024</v>
      </c>
      <c r="C1121" s="4">
        <f t="shared" si="52"/>
        <v>7</v>
      </c>
      <c r="D1121" s="2">
        <v>45504.741745219908</v>
      </c>
      <c r="E1121" s="4">
        <f t="shared" si="53"/>
        <v>17</v>
      </c>
      <c r="F1121" t="s">
        <v>3</v>
      </c>
      <c r="G1121" t="s">
        <v>453</v>
      </c>
      <c r="H1121" s="3">
        <v>23.02</v>
      </c>
      <c r="I1121" t="s">
        <v>28</v>
      </c>
    </row>
    <row r="1122" spans="1:9" x14ac:dyDescent="0.3">
      <c r="A1122" s="1">
        <v>45504</v>
      </c>
      <c r="B1122" s="4">
        <f t="shared" si="51"/>
        <v>2024</v>
      </c>
      <c r="C1122" s="4">
        <f t="shared" si="52"/>
        <v>7</v>
      </c>
      <c r="D1122" s="2">
        <v>45504.752951064816</v>
      </c>
      <c r="E1122" s="4">
        <f t="shared" si="53"/>
        <v>18</v>
      </c>
      <c r="F1122" t="s">
        <v>3</v>
      </c>
      <c r="G1122" t="s">
        <v>454</v>
      </c>
      <c r="H1122" s="3">
        <v>32.82</v>
      </c>
      <c r="I1122" t="s">
        <v>7</v>
      </c>
    </row>
    <row r="1123" spans="1:9" x14ac:dyDescent="0.3">
      <c r="A1123" s="1">
        <v>45504</v>
      </c>
      <c r="B1123" s="4">
        <f t="shared" si="51"/>
        <v>2024</v>
      </c>
      <c r="C1123" s="4">
        <f t="shared" si="52"/>
        <v>7</v>
      </c>
      <c r="D1123" s="2">
        <v>45504.807394479169</v>
      </c>
      <c r="E1123" s="4">
        <f t="shared" si="53"/>
        <v>19</v>
      </c>
      <c r="F1123" t="s">
        <v>3</v>
      </c>
      <c r="G1123" t="s">
        <v>455</v>
      </c>
      <c r="H1123" s="3">
        <v>23.02</v>
      </c>
      <c r="I1123" t="s">
        <v>28</v>
      </c>
    </row>
    <row r="1124" spans="1:9" x14ac:dyDescent="0.3">
      <c r="A1124" s="1">
        <v>45504</v>
      </c>
      <c r="B1124" s="4">
        <f t="shared" si="51"/>
        <v>2024</v>
      </c>
      <c r="C1124" s="4">
        <f t="shared" si="52"/>
        <v>7</v>
      </c>
      <c r="D1124" s="2">
        <v>45504.811633576392</v>
      </c>
      <c r="E1124" s="4">
        <f t="shared" si="53"/>
        <v>19</v>
      </c>
      <c r="F1124" t="s">
        <v>3</v>
      </c>
      <c r="G1124" t="s">
        <v>19</v>
      </c>
      <c r="H1124" s="3">
        <v>32.82</v>
      </c>
      <c r="I1124" t="s">
        <v>7</v>
      </c>
    </row>
    <row r="1125" spans="1:9" x14ac:dyDescent="0.3">
      <c r="A1125" s="1">
        <v>45504</v>
      </c>
      <c r="B1125" s="4">
        <f t="shared" si="51"/>
        <v>2024</v>
      </c>
      <c r="C1125" s="4">
        <f t="shared" si="52"/>
        <v>7</v>
      </c>
      <c r="D1125" s="2">
        <v>45504.86576872685</v>
      </c>
      <c r="E1125" s="4">
        <f t="shared" si="53"/>
        <v>20</v>
      </c>
      <c r="F1125" t="s">
        <v>3</v>
      </c>
      <c r="G1125" t="s">
        <v>456</v>
      </c>
      <c r="H1125" s="3">
        <v>32.82</v>
      </c>
      <c r="I1125" t="s">
        <v>18</v>
      </c>
    </row>
    <row r="1126" spans="1:9" x14ac:dyDescent="0.3">
      <c r="A1126" s="1">
        <v>45504</v>
      </c>
      <c r="B1126" s="4">
        <f t="shared" si="51"/>
        <v>2024</v>
      </c>
      <c r="C1126" s="4">
        <f t="shared" si="52"/>
        <v>7</v>
      </c>
      <c r="D1126" s="2">
        <v>45504.868141331019</v>
      </c>
      <c r="E1126" s="4">
        <f t="shared" si="53"/>
        <v>20</v>
      </c>
      <c r="F1126" t="s">
        <v>3</v>
      </c>
      <c r="G1126" t="s">
        <v>457</v>
      </c>
      <c r="H1126" s="3">
        <v>23.02</v>
      </c>
      <c r="I1126" t="s">
        <v>28</v>
      </c>
    </row>
    <row r="1127" spans="1:9" x14ac:dyDescent="0.3">
      <c r="A1127" s="1">
        <v>45504</v>
      </c>
      <c r="B1127" s="4">
        <f t="shared" si="51"/>
        <v>2024</v>
      </c>
      <c r="C1127" s="4">
        <f t="shared" si="52"/>
        <v>7</v>
      </c>
      <c r="D1127" s="2">
        <v>45504.86887017361</v>
      </c>
      <c r="E1127" s="4">
        <f t="shared" si="53"/>
        <v>20</v>
      </c>
      <c r="F1127" t="s">
        <v>3</v>
      </c>
      <c r="G1127" t="s">
        <v>457</v>
      </c>
      <c r="H1127" s="3">
        <v>32.82</v>
      </c>
      <c r="I1127" t="s">
        <v>7</v>
      </c>
    </row>
    <row r="1128" spans="1:9" x14ac:dyDescent="0.3">
      <c r="A1128" s="1">
        <v>45504</v>
      </c>
      <c r="B1128" s="4">
        <f t="shared" si="51"/>
        <v>2024</v>
      </c>
      <c r="C1128" s="4">
        <f t="shared" si="52"/>
        <v>7</v>
      </c>
      <c r="D1128" s="2">
        <v>45504.869615763891</v>
      </c>
      <c r="E1128" s="4">
        <f t="shared" si="53"/>
        <v>20</v>
      </c>
      <c r="F1128" t="s">
        <v>3</v>
      </c>
      <c r="G1128" t="s">
        <v>167</v>
      </c>
      <c r="H1128" s="3">
        <v>32.82</v>
      </c>
      <c r="I1128" t="s">
        <v>43</v>
      </c>
    </row>
    <row r="1129" spans="1:9" x14ac:dyDescent="0.3">
      <c r="A1129" s="1">
        <v>45504</v>
      </c>
      <c r="B1129" s="4">
        <f t="shared" si="51"/>
        <v>2024</v>
      </c>
      <c r="C1129" s="4">
        <f t="shared" si="52"/>
        <v>7</v>
      </c>
      <c r="D1129" s="2">
        <v>45504.870544872683</v>
      </c>
      <c r="E1129" s="4">
        <f t="shared" si="53"/>
        <v>20</v>
      </c>
      <c r="F1129" t="s">
        <v>3</v>
      </c>
      <c r="G1129" t="s">
        <v>457</v>
      </c>
      <c r="H1129" s="3">
        <v>23.02</v>
      </c>
      <c r="I1129" t="s">
        <v>28</v>
      </c>
    </row>
    <row r="1130" spans="1:9" x14ac:dyDescent="0.3">
      <c r="A1130" s="1">
        <v>45504</v>
      </c>
      <c r="B1130" s="4">
        <f t="shared" si="51"/>
        <v>2024</v>
      </c>
      <c r="C1130" s="4">
        <f t="shared" si="52"/>
        <v>7</v>
      </c>
      <c r="D1130" s="2">
        <v>45504.874595057867</v>
      </c>
      <c r="E1130" s="4">
        <f t="shared" si="53"/>
        <v>20</v>
      </c>
      <c r="F1130" t="s">
        <v>3</v>
      </c>
      <c r="G1130" t="s">
        <v>54</v>
      </c>
      <c r="H1130" s="3">
        <v>27.92</v>
      </c>
      <c r="I1130" t="s">
        <v>14</v>
      </c>
    </row>
    <row r="1131" spans="1:9" x14ac:dyDescent="0.3">
      <c r="A1131" s="1">
        <v>45504</v>
      </c>
      <c r="B1131" s="4">
        <f t="shared" si="51"/>
        <v>2024</v>
      </c>
      <c r="C1131" s="4">
        <f t="shared" si="52"/>
        <v>7</v>
      </c>
      <c r="D1131" s="2">
        <v>45504.89335648148</v>
      </c>
      <c r="E1131" s="4">
        <f t="shared" si="53"/>
        <v>21</v>
      </c>
      <c r="F1131" t="s">
        <v>3</v>
      </c>
      <c r="G1131" t="s">
        <v>458</v>
      </c>
      <c r="H1131" s="3">
        <v>32.82</v>
      </c>
      <c r="I1131" t="s">
        <v>7</v>
      </c>
    </row>
    <row r="1132" spans="1:9" x14ac:dyDescent="0.3">
      <c r="A1132" s="1">
        <v>45504</v>
      </c>
      <c r="B1132" s="4">
        <f t="shared" si="51"/>
        <v>2024</v>
      </c>
      <c r="C1132" s="4">
        <f t="shared" si="52"/>
        <v>7</v>
      </c>
      <c r="D1132" s="2">
        <v>45504.912636851848</v>
      </c>
      <c r="E1132" s="4">
        <f t="shared" si="53"/>
        <v>21</v>
      </c>
      <c r="F1132" t="s">
        <v>3</v>
      </c>
      <c r="G1132" t="s">
        <v>459</v>
      </c>
      <c r="H1132" s="3">
        <v>32.82</v>
      </c>
      <c r="I1132" t="s">
        <v>7</v>
      </c>
    </row>
    <row r="1133" spans="1:9" x14ac:dyDescent="0.3">
      <c r="A1133" s="1">
        <v>45504</v>
      </c>
      <c r="B1133" s="4">
        <f t="shared" si="51"/>
        <v>2024</v>
      </c>
      <c r="C1133" s="4">
        <f t="shared" si="52"/>
        <v>7</v>
      </c>
      <c r="D1133" s="2">
        <v>45504.91338622685</v>
      </c>
      <c r="E1133" s="4">
        <f t="shared" si="53"/>
        <v>21</v>
      </c>
      <c r="F1133" t="s">
        <v>3</v>
      </c>
      <c r="G1133" t="s">
        <v>460</v>
      </c>
      <c r="H1133" s="3">
        <v>32.82</v>
      </c>
      <c r="I1133" t="s">
        <v>7</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topLeftCell="F1" workbookViewId="0">
      <selection activeCell="L7" sqref="L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HOUR VS SALES</vt:lpstr>
      <vt:lpstr>Sheet2</vt:lpstr>
      <vt:lpstr>HOUR VS SALES 2</vt:lpstr>
      <vt:lpstr>Sheet4</vt:lpstr>
      <vt:lpstr>DAILY SALES TREND</vt:lpstr>
      <vt:lpstr>CASH VS CARD</vt:lpstr>
      <vt:lpstr>COFFEE WISE SALES</vt:lpstr>
      <vt:lpstr>Sheet1</vt:lpstr>
      <vt:lpstr>MONTHLY SALES</vt:lpstr>
      <vt:lpstr>Sheet3</vt:lpstr>
      <vt:lpstr>index (1)</vt:lpstr>
      <vt:lpstr>Sheet9</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2025-12-14T17:50:00Z</dcterms:created>
  <dcterms:modified xsi:type="dcterms:W3CDTF">2025-12-16T03:08:02Z</dcterms:modified>
</cp:coreProperties>
</file>